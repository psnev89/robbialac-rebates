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omology-my.sharepoint.com/personal/ines_lourenco_robbialac_pt/Documents/1. IL - DIGITAL MARKETING &amp; CRM/4. +Pinta/5. CATÁLOGO +PINTA/2026/0. Catálogo 2026/Ofertas/"/>
    </mc:Choice>
  </mc:AlternateContent>
  <xr:revisionPtr revIDLastSave="0" documentId="8_{216A1C5B-1958-4F06-A64D-AD9E401F3634}" xr6:coauthVersionLast="47" xr6:coauthVersionMax="47" xr10:uidLastSave="{00000000-0000-0000-0000-000000000000}"/>
  <bookViews>
    <workbookView xWindow="-108" yWindow="-108" windowWidth="23256" windowHeight="12456" xr2:uid="{E86711CE-1D1C-4C3B-A59C-ADA6BB82BE70}"/>
  </bookViews>
  <sheets>
    <sheet name="2026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3" l="1"/>
  <c r="H71" i="3"/>
  <c r="K37" i="3"/>
  <c r="J37" i="3"/>
  <c r="I35" i="3"/>
  <c r="K47" i="3"/>
  <c r="J47" i="3"/>
  <c r="I47" i="3"/>
  <c r="H47" i="3"/>
  <c r="K42" i="3"/>
  <c r="J42" i="3"/>
  <c r="I42" i="3"/>
  <c r="H42" i="3"/>
  <c r="H43" i="3"/>
  <c r="K30" i="3"/>
  <c r="J30" i="3"/>
  <c r="I30" i="3"/>
  <c r="H30" i="3"/>
  <c r="K35" i="3"/>
  <c r="J35" i="3"/>
  <c r="H49" i="3"/>
  <c r="H50" i="3"/>
  <c r="H51" i="3"/>
  <c r="H52" i="3"/>
  <c r="H53" i="3"/>
  <c r="H54" i="3"/>
  <c r="H55" i="3"/>
  <c r="H57" i="3"/>
  <c r="H58" i="3"/>
  <c r="H59" i="3"/>
  <c r="H60" i="3"/>
  <c r="H61" i="3"/>
  <c r="H62" i="3"/>
  <c r="H63" i="3"/>
  <c r="H48" i="3"/>
  <c r="H34" i="3"/>
  <c r="H35" i="3"/>
  <c r="H12" i="3"/>
  <c r="H13" i="3"/>
  <c r="H14" i="3"/>
  <c r="H15" i="3"/>
  <c r="H16" i="3"/>
  <c r="H17" i="3"/>
  <c r="H18" i="3"/>
  <c r="H19" i="3"/>
  <c r="H20" i="3"/>
  <c r="H21" i="3"/>
  <c r="H11" i="3"/>
  <c r="H39" i="3"/>
  <c r="H40" i="3"/>
  <c r="H41" i="3"/>
  <c r="H44" i="3"/>
  <c r="H45" i="3"/>
  <c r="H46" i="3"/>
  <c r="H27" i="3"/>
  <c r="H31" i="3"/>
  <c r="H28" i="3"/>
  <c r="H32" i="3"/>
  <c r="H29" i="3"/>
  <c r="H33" i="3"/>
  <c r="H64" i="3"/>
  <c r="H65" i="3"/>
  <c r="H66" i="3"/>
  <c r="H67" i="3"/>
  <c r="H68" i="3"/>
  <c r="H69" i="3"/>
  <c r="H70" i="3"/>
  <c r="H24" i="3"/>
  <c r="G38" i="3"/>
  <c r="H38" i="3" s="1"/>
  <c r="I34" i="3"/>
  <c r="I39" i="3"/>
  <c r="I44" i="3"/>
  <c r="I46" i="3"/>
  <c r="I31" i="3"/>
  <c r="I32" i="3"/>
  <c r="I53" i="3"/>
  <c r="I52" i="3"/>
  <c r="I51" i="3"/>
  <c r="I50" i="3"/>
  <c r="I49" i="3"/>
  <c r="I48" i="3"/>
  <c r="I33" i="3"/>
  <c r="I57" i="3"/>
  <c r="I60" i="3"/>
  <c r="I62" i="3"/>
  <c r="J68" i="3"/>
  <c r="J62" i="3"/>
  <c r="J60" i="3"/>
  <c r="J57" i="3"/>
  <c r="J56" i="3"/>
  <c r="J53" i="3"/>
  <c r="J52" i="3"/>
  <c r="J51" i="3"/>
  <c r="J50" i="3"/>
  <c r="J49" i="3"/>
  <c r="J48" i="3"/>
  <c r="J33" i="3"/>
  <c r="J32" i="3"/>
  <c r="J31" i="3"/>
  <c r="J46" i="3"/>
  <c r="J44" i="3"/>
  <c r="J39" i="3"/>
  <c r="J23" i="3"/>
  <c r="J22" i="3"/>
  <c r="J36" i="3"/>
  <c r="J34" i="3"/>
  <c r="K36" i="3"/>
  <c r="K34" i="3"/>
  <c r="K22" i="3"/>
  <c r="K68" i="3"/>
  <c r="K62" i="3"/>
  <c r="K60" i="3"/>
  <c r="K57" i="3"/>
  <c r="K56" i="3"/>
  <c r="K53" i="3"/>
  <c r="K52" i="3"/>
  <c r="K51" i="3"/>
  <c r="K50" i="3"/>
  <c r="K49" i="3"/>
  <c r="K48" i="3"/>
  <c r="K33" i="3"/>
  <c r="K32" i="3"/>
  <c r="K31" i="3"/>
  <c r="K46" i="3"/>
  <c r="K44" i="3"/>
  <c r="K39" i="3"/>
  <c r="K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Bernardo Aragão</author>
  </authors>
  <commentList>
    <comment ref="G38" authorId="0" shapeId="0" xr:uid="{113FF48B-F090-46BE-AD68-B308518EBF8B}">
      <text>
        <r>
          <rPr>
            <b/>
            <sz val="9"/>
            <color indexed="81"/>
            <rFont val="Tahoma"/>
            <family val="2"/>
          </rPr>
          <t>Bernardo Aragão:</t>
        </r>
        <r>
          <rPr>
            <sz val="9"/>
            <color indexed="81"/>
            <rFont val="Tahoma"/>
            <family val="2"/>
          </rPr>
          <t xml:space="preserve">
Preço Compra 2025 + 10%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<sst xmlns="http://schemas.openxmlformats.org/spreadsheetml/2006/main" count="240" uniqueCount="150">
  <si>
    <t>Pontos</t>
  </si>
  <si>
    <t>Preço Final Robbialac</t>
  </si>
  <si>
    <t>Base</t>
  </si>
  <si>
    <t>Prata</t>
  </si>
  <si>
    <t>Ouro</t>
  </si>
  <si>
    <t>Platina</t>
  </si>
  <si>
    <t>HIGHLIGHT</t>
  </si>
  <si>
    <t>EXLUSIVIDADE PATAMARES</t>
  </si>
  <si>
    <t>IMAGEM?</t>
  </si>
  <si>
    <t>DESCRIÇÃO</t>
  </si>
  <si>
    <t>Robbialac</t>
  </si>
  <si>
    <t>Tintas</t>
  </si>
  <si>
    <t>Super REP Branco 15L</t>
  </si>
  <si>
    <t>Cor: Branco Tamanho: 15L</t>
  </si>
  <si>
    <t>X</t>
  </si>
  <si>
    <t>SIM</t>
  </si>
  <si>
    <t>REP Branco 5L</t>
  </si>
  <si>
    <t>Cor: Branco Tamanho: 5L</t>
  </si>
  <si>
    <t>REP Branco 15L</t>
  </si>
  <si>
    <t>VinylREP Extra Branco 5L</t>
  </si>
  <si>
    <t>VinylREP Extra Branco 15L</t>
  </si>
  <si>
    <t>Cartões +Oferta</t>
  </si>
  <si>
    <t>Cartão +Poupa Robbialac 30€</t>
  </si>
  <si>
    <t>Poupe nas suas compras em todas as lojas próprias Robbialac.</t>
  </si>
  <si>
    <t>Cartão +Poupa Robbialac 50€</t>
  </si>
  <si>
    <t>Lazer</t>
  </si>
  <si>
    <t>Cheques e Vales</t>
  </si>
  <si>
    <t>DAZN 3 Meses Subscrição</t>
  </si>
  <si>
    <t>Canal De Desporto DAZN 3 meses de subscrição</t>
  </si>
  <si>
    <t>Vale Pingo Doce 10€</t>
  </si>
  <si>
    <t>Válido nas lojas Pingo Doce, Code e BemEstar. - Utilização total num ato de compra ou parcial até esgotar o valor facial. - Vales acumuláveis entre si.</t>
  </si>
  <si>
    <t>Vale Pingo Doce 50€</t>
  </si>
  <si>
    <t>Vale Fnac 10€</t>
  </si>
  <si>
    <t>Válido nas lojas Fnac Portugal e em www.fnac.pt. - Válido na bilheteira. - Utilização total num ato de compra ou parcial até esgotar o valor facial. - Vales acumuláveis entre si.</t>
  </si>
  <si>
    <t>Vale Fnac 50€</t>
  </si>
  <si>
    <t>Vale Decathlon 15€</t>
  </si>
  <si>
    <t>Disponível para qualquer loja Decathlon física e na loja online Decathlon.pt</t>
  </si>
  <si>
    <t>Vale Decathlon 25€</t>
  </si>
  <si>
    <t>Vale IKEA 20€</t>
  </si>
  <si>
    <t>Válido nas lojas IKEA Portugal e em www.ikea.pt - Vale de utilização total num ato de compra ou parcial até esgotar o valor facial. - Vales acumuláveis entre si nas lojas IKEA Portugal.</t>
  </si>
  <si>
    <t>Vale IKEA 50€</t>
  </si>
  <si>
    <t>Cartão Dá 10€</t>
  </si>
  <si>
    <t>É aceite na compra de qualquer produto onde o Continente Pay é aceite como meio de pagamento, ou seja, no Continente, Zippy, MO, Wells (excluindo franqueados), Bagga, Note! e na loja online continente.pt</t>
  </si>
  <si>
    <t>Cartão Dá 50€</t>
  </si>
  <si>
    <t>Voucher Viagem TopAtlântico 200€</t>
  </si>
  <si>
    <t>Voucher Viagem Top Atlântico 200€</t>
  </si>
  <si>
    <t>Exclusivo Ouro e Platina</t>
  </si>
  <si>
    <t>Voucher Viagem TopAtlântico 500€</t>
  </si>
  <si>
    <t>Voucher Viagem Top Atlântico 500€</t>
  </si>
  <si>
    <t>PROFISSIONAL</t>
  </si>
  <si>
    <t>Leque de Cores SuperColorizer Interior</t>
  </si>
  <si>
    <t>*Limitado ao Stock Existente</t>
  </si>
  <si>
    <t>Pack 3 Bonés Robbialac</t>
  </si>
  <si>
    <t>Tamanho único</t>
  </si>
  <si>
    <t>Pack 3 T-shirts +Pinta </t>
  </si>
  <si>
    <t>Tamanhos: S, M, L e XL. T-shirt de manga curta.</t>
  </si>
  <si>
    <t>Sem Personalização</t>
  </si>
  <si>
    <t>Polo Manga Curta Robbialac</t>
  </si>
  <si>
    <t>Tamanhos: S, M, L e XL</t>
  </si>
  <si>
    <t>Colete Acolchoado Robbialac</t>
  </si>
  <si>
    <t>Tamanhos: S, M, L e XL. Colete alcochoado.</t>
  </si>
  <si>
    <t>Casaco Polar Robbialac</t>
  </si>
  <si>
    <t>Tamanhos: S, M, L e XL. Casaco polar com fecho.</t>
  </si>
  <si>
    <t>Personalizados</t>
  </si>
  <si>
    <t>Colete Multibolso Personalizado</t>
  </si>
  <si>
    <t>Tamanhos: S, M, L e XL. Colete multibolsos de gola alta, com fecho central e velcro.</t>
  </si>
  <si>
    <t>[Personalizado] Polo Manga Curta</t>
  </si>
  <si>
    <t xml:space="preserve">Tamanhos: S, M, L e XL. Personalize com o seu logótipo. </t>
  </si>
  <si>
    <t>[Personalizado] Colete Acolchoado</t>
  </si>
  <si>
    <t>Tamanhos: S, M, L e XL. Personalize com o seu logótipo</t>
  </si>
  <si>
    <t xml:space="preserve">[Personalizado] Casaco Polar </t>
  </si>
  <si>
    <t>LIXADORA PLANEX EASY (Festool)</t>
  </si>
  <si>
    <t>Festool - Lixadora leve e equilibrada para pladur, com motor sem escovas, que garante conforto, eficiência e acabamentos de alta qualidade.</t>
  </si>
  <si>
    <t>PISTOLA GRACO CONTRACTOR II</t>
  </si>
  <si>
    <t>Graco - Pistola de pulverização airless Contractor PC .</t>
  </si>
  <si>
    <t>GRACO ULTRA QUICK SHOT</t>
  </si>
  <si>
    <t>Graco - Pulverizador airless portátil de alta precisão, com controlo extremo da pressão.</t>
  </si>
  <si>
    <t>GRACO ULTRA QUICK SHOT II</t>
  </si>
  <si>
    <t>Color Pin</t>
  </si>
  <si>
    <t>Leitor de cor para identificar qualquer cor instantaneamente.</t>
  </si>
  <si>
    <t>Estação de Energia Portátil</t>
  </si>
  <si>
    <t>Xtorm - XP2W300 Xtreme Power 2 300W</t>
  </si>
  <si>
    <t>Carregador e Lanterna Portátil</t>
  </si>
  <si>
    <t>Xtorm - XR204 40000 mAh Preto e Laranja</t>
  </si>
  <si>
    <t>Rebarbadora</t>
  </si>
  <si>
    <t>Black &amp; Decker - 2200W 230mm, Velocidade 6500rpm, diâmetro do eixo M14 inclui punho lateral</t>
  </si>
  <si>
    <t>Escadote 3 degraus</t>
  </si>
  <si>
    <t>Portimpact - DOMLS de 3 Degraus</t>
  </si>
  <si>
    <t>Nível de Laser</t>
  </si>
  <si>
    <t>Stanley - Laser vermelho em cruz com alcance 12m. 2pilhas AA.</t>
  </si>
  <si>
    <t>Misturador Stanley</t>
  </si>
  <si>
    <t>Stanley - MISTURADOR 1.600W</t>
  </si>
  <si>
    <t>Projector com Tripé LED</t>
  </si>
  <si>
    <t>Projector LED 30W. Altura máxima 1,34m.</t>
  </si>
  <si>
    <t>Impressão Digital em Lona</t>
  </si>
  <si>
    <t xml:space="preserve">Dimensões: 1,5m x 3m </t>
  </si>
  <si>
    <t>x</t>
  </si>
  <si>
    <t>Medidor de Humidade STANLEY</t>
  </si>
  <si>
    <t>Medidor de Humidade</t>
  </si>
  <si>
    <t>TECNOLOGIA</t>
  </si>
  <si>
    <t>HISENSE Smart TV 55INCH QLED UHD</t>
  </si>
  <si>
    <t>TV HISENSE 55A7Q (QLED - 55'' - 140 cm - 4K Ultra HD - Smart TV)</t>
  </si>
  <si>
    <t>HISENSE Smart TV 65INCH UHD</t>
  </si>
  <si>
    <t>TV HISENSE 65A6Q (LED - 65'' - 164 cm - 4k Ultra HD - Smart TV)</t>
  </si>
  <si>
    <t>Coluna Portatil</t>
  </si>
  <si>
    <t>Separável em 2, à prova de água IP67, 30 W, preto</t>
  </si>
  <si>
    <t>Auriculares in-ear</t>
  </si>
  <si>
    <t>FORCEPLAY - Play Touch ANC, Ecrã tátil, Branco</t>
  </si>
  <si>
    <t>Samsung Galaxy A17 5G</t>
  </si>
  <si>
    <t>Galaxy A17 5G - 128GB - Preto</t>
  </si>
  <si>
    <t>Apple iPhone 17</t>
  </si>
  <si>
    <t>Apple iPhone 17 - 256GB - Preto</t>
  </si>
  <si>
    <t>Samsung Galaxy Watch 8</t>
  </si>
  <si>
    <t>Galaxy Watch 8, 44mm, GPS</t>
  </si>
  <si>
    <t>Smartwatch Xiaomi</t>
  </si>
  <si>
    <t>Redmi Watch 5 Active, Preto</t>
  </si>
  <si>
    <t>CASA</t>
  </si>
  <si>
    <t>Eletrodomésticos</t>
  </si>
  <si>
    <t>PS5 Slim Standard</t>
  </si>
  <si>
    <t>Consola Playstation PS5 Slim Standard - 1TB</t>
  </si>
  <si>
    <t>Máquina de Café Dolce Gusto</t>
  </si>
  <si>
    <t xml:space="preserve">KRUPS - Máq. Café Mini Me Cinz. KP123B  </t>
  </si>
  <si>
    <t>Saca Rolhas Elétrico</t>
  </si>
  <si>
    <t>Set Saca-Rolhas Inox "Fenix"</t>
  </si>
  <si>
    <t>Torradeira Russell Hobbs</t>
  </si>
  <si>
    <t xml:space="preserve">RUSSELL HOBBS - Torradeira 21396-56 </t>
  </si>
  <si>
    <t>Aspirador Versátil Rowenta</t>
  </si>
  <si>
    <t>ROWENTA - Aspirador Versátil X-Pert RH6A35WO</t>
  </si>
  <si>
    <t>Microondas Teka</t>
  </si>
  <si>
    <t>TEKA - Microondas MWE FS25 G SS</t>
  </si>
  <si>
    <t>Air Fryer Russell Hobbs</t>
  </si>
  <si>
    <t>RUSSELL HOBBS - Air Fryer 5.5L 27620-56</t>
  </si>
  <si>
    <t>Desporto</t>
  </si>
  <si>
    <t>Aspirador de Carro Portátil Baseus</t>
  </si>
  <si>
    <t>Baseus - Aspirador A3LITE de carro portátil preto</t>
  </si>
  <si>
    <t>Bola Liga Portugal 25/26</t>
  </si>
  <si>
    <t>Bola Oficial Liga Portugal 25/26</t>
  </si>
  <si>
    <t>Camisola Oficial Sporting CP</t>
  </si>
  <si>
    <t xml:space="preserve">Tamanho: </t>
  </si>
  <si>
    <t>Camisola Oficial FC Porto</t>
  </si>
  <si>
    <t>SAÚDE E BELEZA</t>
  </si>
  <si>
    <t>Camisola Oficial SL Benfica</t>
  </si>
  <si>
    <t>Perfume Jean Paul Gaultier Le Male</t>
  </si>
  <si>
    <t>Perfume Jean Paul Gaultier Le Male 75ml</t>
  </si>
  <si>
    <t>Máquina de Barbear Philips</t>
  </si>
  <si>
    <t>PHILIPS - Máq. Barbear S7000 S7887/55</t>
  </si>
  <si>
    <t>Secador de Cabelo BaByliss</t>
  </si>
  <si>
    <t>BaByliss - D570DE 2200W 3 temperaturas/ 2 velocidades</t>
  </si>
  <si>
    <t>Medidor de tensão</t>
  </si>
  <si>
    <t>Withings - BPM 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</si>
</sst>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;[Red]\-#,##0.00\ &quot;€&quot;"/>
    <numFmt numFmtId="165" formatCode="_-* #,##0.00\ &quot;€&quot;_-;\-* #,##0.00\ &quot;€&quot;_-;_-* &quot;-&quot;??\ &quot;€&quot;_-;_-@_-"/>
    <numFmt numFmtId="166" formatCode="#,##0.00\ &quot;€&quot;"/>
    <numFmt numFmtId="167" formatCode="0.000"/>
  </numFmts>
  <fonts count="1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rgb="FF000000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167" fontId="3" fillId="7" borderId="7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 wrapText="1"/>
    </xf>
    <xf numFmtId="165" fontId="3" fillId="8" borderId="0" xfId="1" applyFont="1" applyFill="1" applyBorder="1" applyAlignment="1">
      <alignment horizontal="center" vertical="center"/>
    </xf>
    <xf numFmtId="165" fontId="3" fillId="8" borderId="3" xfId="1" applyFont="1" applyFill="1" applyBorder="1" applyAlignment="1">
      <alignment horizontal="center" vertical="center"/>
    </xf>
    <xf numFmtId="165" fontId="3" fillId="8" borderId="3" xfId="1" applyFont="1" applyFill="1" applyBorder="1" applyAlignment="1">
      <alignment horizontal="center" vertical="center" wrapText="1"/>
    </xf>
    <xf numFmtId="165" fontId="3" fillId="5" borderId="3" xfId="1" applyFont="1" applyFill="1" applyBorder="1" applyAlignment="1">
      <alignment horizontal="center" vertical="center"/>
    </xf>
    <xf numFmtId="164" fontId="3" fillId="5" borderId="3" xfId="1" applyNumberFormat="1" applyFont="1" applyFill="1" applyBorder="1" applyAlignment="1">
      <alignment horizontal="center" vertical="center"/>
    </xf>
    <xf numFmtId="165" fontId="3" fillId="5" borderId="3" xfId="1" applyFont="1" applyFill="1" applyBorder="1" applyAlignment="1">
      <alignment horizontal="center" vertical="center" wrapText="1"/>
    </xf>
    <xf numFmtId="166" fontId="3" fillId="5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1" fontId="6" fillId="10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3" fontId="3" fillId="7" borderId="3" xfId="0" applyNumberFormat="1" applyFont="1" applyFill="1" applyBorder="1" applyAlignment="1">
      <alignment horizontal="center" vertical="center"/>
    </xf>
    <xf numFmtId="3" fontId="2" fillId="7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vertical="center"/>
    </xf>
    <xf numFmtId="1" fontId="6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 vertical="center" wrapText="1"/>
    </xf>
    <xf numFmtId="167" fontId="3" fillId="4" borderId="5" xfId="0" applyNumberFormat="1" applyFont="1" applyFill="1" applyBorder="1" applyAlignment="1">
      <alignment horizontal="center" vertical="center"/>
    </xf>
    <xf numFmtId="3" fontId="3" fillId="6" borderId="3" xfId="1" applyNumberFormat="1" applyFont="1" applyFill="1" applyBorder="1" applyAlignment="1">
      <alignment horizontal="center" vertical="center"/>
    </xf>
    <xf numFmtId="3" fontId="2" fillId="4" borderId="3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  <xf numFmtId="0" fontId="0" fillId="12" borderId="3" xfId="0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left" vertical="center"/>
    </xf>
    <xf numFmtId="1" fontId="4" fillId="2" borderId="3" xfId="0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3" fillId="20" borderId="3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3" fontId="2" fillId="20" borderId="3" xfId="0" applyNumberFormat="1" applyFont="1" applyFill="1" applyBorder="1" applyAlignment="1">
      <alignment horizontal="center" vertical="center"/>
    </xf>
    <xf numFmtId="3" fontId="3" fillId="20" borderId="3" xfId="0" applyNumberFormat="1" applyFont="1" applyFill="1" applyBorder="1" applyAlignment="1">
      <alignment horizontal="center" vertical="center"/>
    </xf>
    <xf numFmtId="3" fontId="3" fillId="20" borderId="2" xfId="0" applyNumberFormat="1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1" fontId="6" fillId="20" borderId="2" xfId="0" applyNumberFormat="1" applyFont="1" applyFill="1" applyBorder="1" applyAlignment="1">
      <alignment horizontal="center" vertical="center"/>
    </xf>
    <xf numFmtId="1" fontId="6" fillId="20" borderId="3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vertical="center"/>
    </xf>
    <xf numFmtId="0" fontId="7" fillId="19" borderId="2" xfId="0" applyFont="1" applyFill="1" applyBorder="1" applyAlignment="1">
      <alignment vertical="center"/>
    </xf>
    <xf numFmtId="0" fontId="7" fillId="19" borderId="11" xfId="0" applyFont="1" applyFill="1" applyBorder="1" applyAlignment="1">
      <alignment vertical="center"/>
    </xf>
    <xf numFmtId="0" fontId="7" fillId="19" borderId="7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1" fontId="4" fillId="0" borderId="12" xfId="0" applyNumberFormat="1" applyFont="1" applyBorder="1" applyAlignment="1">
      <alignment horizontal="left" vertical="center"/>
    </xf>
    <xf numFmtId="0" fontId="6" fillId="21" borderId="3" xfId="0" applyFont="1" applyFill="1" applyBorder="1" applyAlignment="1">
      <alignment horizontal="center" vertical="center"/>
    </xf>
    <xf numFmtId="0" fontId="0" fillId="21" borderId="3" xfId="0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7" fillId="17" borderId="9" xfId="0" applyFont="1" applyFill="1" applyBorder="1" applyAlignment="1">
      <alignment horizontal="center" vertical="center"/>
    </xf>
    <xf numFmtId="0" fontId="7" fillId="17" borderId="10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/>
    </xf>
    <xf numFmtId="0" fontId="7" fillId="17" borderId="11" xfId="0" applyFont="1" applyFill="1" applyBorder="1" applyAlignment="1">
      <alignment horizontal="center" vertical="center"/>
    </xf>
    <xf numFmtId="0" fontId="7" fillId="17" borderId="7" xfId="0" applyFont="1" applyFill="1" applyBorder="1" applyAlignment="1">
      <alignment horizontal="center" vertical="center"/>
    </xf>
    <xf numFmtId="0" fontId="7" fillId="16" borderId="0" xfId="0" applyFont="1" applyFill="1" applyAlignment="1">
      <alignment horizontal="center" vertical="center" wrapText="1"/>
    </xf>
    <xf numFmtId="0" fontId="7" fillId="17" borderId="0" xfId="0" applyFont="1" applyFill="1" applyAlignment="1">
      <alignment horizontal="center" vertical="center" wrapText="1"/>
    </xf>
    <xf numFmtId="0" fontId="7" fillId="18" borderId="0" xfId="0" applyFont="1" applyFill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B084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3.emf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2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cid:F7B401F8-D47A-42B6-AB63-688A6AD8AEEF" TargetMode="External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3" Type="http://schemas.openxmlformats.org/officeDocument/2006/relationships/image" Target="../media/image4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245081</xdr:colOff>
      <xdr:row>43</xdr:row>
      <xdr:rowOff>95685</xdr:rowOff>
    </xdr:from>
    <xdr:to>
      <xdr:col>2</xdr:col>
      <xdr:colOff>857249</xdr:colOff>
      <xdr:row>43</xdr:row>
      <xdr:rowOff>663908</xdr:rowOff>
    </xdr:to>
    <xdr:pic>
      <xdr:nvPicPr>
        <xdr:cNvPr id="29" name="Picture 1359">
          <a:extLst>
            <a:ext uri="{FF2B5EF4-FFF2-40B4-BE49-F238E27FC236}">
              <a16:creationId xmlns:a16="http://schemas.microsoft.com/office/drawing/2014/main" id="{28E63D8A-DD91-484F-9D4E-148806F70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4010" y="21785471"/>
          <a:ext cx="612168" cy="555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160112</xdr:colOff>
      <xdr:row>44</xdr:row>
      <xdr:rowOff>88899</xdr:rowOff>
    </xdr:from>
    <xdr:to>
      <xdr:col>2</xdr:col>
      <xdr:colOff>777876</xdr:colOff>
      <xdr:row>44</xdr:row>
      <xdr:rowOff>759753</xdr:rowOff>
    </xdr:to>
    <xdr:pic>
      <xdr:nvPicPr>
        <xdr:cNvPr id="31" name="Picture 35">
          <a:extLst>
            <a:ext uri="{FF2B5EF4-FFF2-40B4-BE49-F238E27FC236}">
              <a16:creationId xmlns:a16="http://schemas.microsoft.com/office/drawing/2014/main" id="{1C4B0ED0-1A56-4CE3-83EA-43086BF9D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1041" y="28568649"/>
          <a:ext cx="617764" cy="670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136071</xdr:colOff>
      <xdr:row>45</xdr:row>
      <xdr:rowOff>160112</xdr:rowOff>
    </xdr:from>
    <xdr:to>
      <xdr:col>2</xdr:col>
      <xdr:colOff>911678</xdr:colOff>
      <xdr:row>45</xdr:row>
      <xdr:rowOff>723030</xdr:rowOff>
    </xdr:to>
    <xdr:pic>
      <xdr:nvPicPr>
        <xdr:cNvPr id="32" name="Imagem 5">
          <a:extLst>
            <a:ext uri="{FF2B5EF4-FFF2-40B4-BE49-F238E27FC236}">
              <a16:creationId xmlns:a16="http://schemas.microsoft.com/office/drawing/2014/main" id="{50A06312-729E-46E8-9DBF-36BD8C2B7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22026791"/>
          <a:ext cx="775607" cy="5629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68038</xdr:colOff>
      <xdr:row>55</xdr:row>
      <xdr:rowOff>122013</xdr:rowOff>
    </xdr:from>
    <xdr:to>
      <xdr:col>2</xdr:col>
      <xdr:colOff>993321</xdr:colOff>
      <xdr:row>56</xdr:row>
      <xdr:rowOff>11427</xdr:rowOff>
    </xdr:to>
    <xdr:pic>
      <xdr:nvPicPr>
        <xdr:cNvPr id="47" name="Picture 1460">
          <a:extLst>
            <a:ext uri="{FF2B5EF4-FFF2-40B4-BE49-F238E27FC236}">
              <a16:creationId xmlns:a16="http://schemas.microsoft.com/office/drawing/2014/main" id="{BA261EE5-CBD9-456E-9C5D-FEE85CE1F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967" y="37364763"/>
          <a:ext cx="925283" cy="8156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291797</xdr:colOff>
      <xdr:row>26</xdr:row>
      <xdr:rowOff>48381</xdr:rowOff>
    </xdr:from>
    <xdr:to>
      <xdr:col>2</xdr:col>
      <xdr:colOff>873729</xdr:colOff>
      <xdr:row>27</xdr:row>
      <xdr:rowOff>1471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11E585F9-D9C6-40B2-9AC6-40F77AB8E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9214" y="29597048"/>
          <a:ext cx="581932" cy="60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273655</xdr:colOff>
      <xdr:row>30</xdr:row>
      <xdr:rowOff>54429</xdr:rowOff>
    </xdr:from>
    <xdr:to>
      <xdr:col>2</xdr:col>
      <xdr:colOff>835141</xdr:colOff>
      <xdr:row>30</xdr:row>
      <xdr:rowOff>628197</xdr:rowOff>
    </xdr:to>
    <xdr:pic>
      <xdr:nvPicPr>
        <xdr:cNvPr id="50" name="Picture 10">
          <a:extLst>
            <a:ext uri="{FF2B5EF4-FFF2-40B4-BE49-F238E27FC236}">
              <a16:creationId xmlns:a16="http://schemas.microsoft.com/office/drawing/2014/main" id="{7D112F5E-8EE7-4529-B4FF-4DBAFF6A0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1072" y="30280429"/>
          <a:ext cx="557676" cy="564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167821</xdr:colOff>
      <xdr:row>27</xdr:row>
      <xdr:rowOff>13607</xdr:rowOff>
    </xdr:from>
    <xdr:to>
      <xdr:col>2</xdr:col>
      <xdr:colOff>916213</xdr:colOff>
      <xdr:row>28</xdr:row>
      <xdr:rowOff>1346</xdr:rowOff>
    </xdr:to>
    <xdr:pic>
      <xdr:nvPicPr>
        <xdr:cNvPr id="51" name="Picture 19">
          <a:extLst>
            <a:ext uri="{FF2B5EF4-FFF2-40B4-BE49-F238E27FC236}">
              <a16:creationId xmlns:a16="http://schemas.microsoft.com/office/drawing/2014/main" id="{48F9CB80-2690-4920-ABB9-8773A81B5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238" y="30916940"/>
          <a:ext cx="748392" cy="6544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207131</xdr:colOff>
      <xdr:row>31</xdr:row>
      <xdr:rowOff>120953</xdr:rowOff>
    </xdr:from>
    <xdr:to>
      <xdr:col>2</xdr:col>
      <xdr:colOff>933026</xdr:colOff>
      <xdr:row>31</xdr:row>
      <xdr:rowOff>798135</xdr:rowOff>
    </xdr:to>
    <xdr:pic>
      <xdr:nvPicPr>
        <xdr:cNvPr id="52" name="Picture 20">
          <a:extLst>
            <a:ext uri="{FF2B5EF4-FFF2-40B4-BE49-F238E27FC236}">
              <a16:creationId xmlns:a16="http://schemas.microsoft.com/office/drawing/2014/main" id="{010E1DC5-2505-4CA4-9DC5-95414DF9C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548" y="31701620"/>
          <a:ext cx="735420" cy="677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202596</xdr:colOff>
      <xdr:row>28</xdr:row>
      <xdr:rowOff>95251</xdr:rowOff>
    </xdr:from>
    <xdr:to>
      <xdr:col>2</xdr:col>
      <xdr:colOff>931862</xdr:colOff>
      <xdr:row>28</xdr:row>
      <xdr:rowOff>802821</xdr:rowOff>
    </xdr:to>
    <xdr:pic>
      <xdr:nvPicPr>
        <xdr:cNvPr id="53" name="Picture 23">
          <a:extLst>
            <a:ext uri="{FF2B5EF4-FFF2-40B4-BE49-F238E27FC236}">
              <a16:creationId xmlns:a16="http://schemas.microsoft.com/office/drawing/2014/main" id="{A0FA9558-84AE-4FC5-8C11-6E068FB89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0013" y="32533168"/>
          <a:ext cx="744506" cy="707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136071</xdr:colOff>
      <xdr:row>32</xdr:row>
      <xdr:rowOff>27214</xdr:rowOff>
    </xdr:from>
    <xdr:to>
      <xdr:col>2</xdr:col>
      <xdr:colOff>952499</xdr:colOff>
      <xdr:row>32</xdr:row>
      <xdr:rowOff>780536</xdr:rowOff>
    </xdr:to>
    <xdr:pic>
      <xdr:nvPicPr>
        <xdr:cNvPr id="54" name="Picture 24">
          <a:extLst>
            <a:ext uri="{FF2B5EF4-FFF2-40B4-BE49-F238E27FC236}">
              <a16:creationId xmlns:a16="http://schemas.microsoft.com/office/drawing/2014/main" id="{A761C378-257A-4DC9-9A9E-351F550DF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3488" y="33322381"/>
          <a:ext cx="816428" cy="755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243417</xdr:colOff>
      <xdr:row>64</xdr:row>
      <xdr:rowOff>33655</xdr:rowOff>
    </xdr:from>
    <xdr:to>
      <xdr:col>2</xdr:col>
      <xdr:colOff>856220</xdr:colOff>
      <xdr:row>65</xdr:row>
      <xdr:rowOff>10600</xdr:rowOff>
    </xdr:to>
    <xdr:pic>
      <xdr:nvPicPr>
        <xdr:cNvPr id="12" name="Picture 1362">
          <a:extLst>
            <a:ext uri="{FF2B5EF4-FFF2-40B4-BE49-F238E27FC236}">
              <a16:creationId xmlns:a16="http://schemas.microsoft.com/office/drawing/2014/main" id="{AD1C698C-F69B-4F3A-9745-F5A6D6187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0834" y="50939488"/>
          <a:ext cx="620423" cy="661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181549</xdr:colOff>
      <xdr:row>65</xdr:row>
      <xdr:rowOff>13607</xdr:rowOff>
    </xdr:from>
    <xdr:to>
      <xdr:col>2</xdr:col>
      <xdr:colOff>857249</xdr:colOff>
      <xdr:row>65</xdr:row>
      <xdr:rowOff>645443</xdr:rowOff>
    </xdr:to>
    <xdr:pic>
      <xdr:nvPicPr>
        <xdr:cNvPr id="13" name="Picture 1367">
          <a:extLst>
            <a:ext uri="{FF2B5EF4-FFF2-40B4-BE49-F238E27FC236}">
              <a16:creationId xmlns:a16="http://schemas.microsoft.com/office/drawing/2014/main" id="{C8B13156-D940-4A62-83C6-853D0BB8C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478" y="48250928"/>
          <a:ext cx="675700" cy="63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136073</xdr:colOff>
      <xdr:row>66</xdr:row>
      <xdr:rowOff>54428</xdr:rowOff>
    </xdr:from>
    <xdr:to>
      <xdr:col>2</xdr:col>
      <xdr:colOff>822093</xdr:colOff>
      <xdr:row>66</xdr:row>
      <xdr:rowOff>687659</xdr:rowOff>
    </xdr:to>
    <xdr:pic>
      <xdr:nvPicPr>
        <xdr:cNvPr id="15" name="Picture 1364">
          <a:extLst>
            <a:ext uri="{FF2B5EF4-FFF2-40B4-BE49-F238E27FC236}">
              <a16:creationId xmlns:a16="http://schemas.microsoft.com/office/drawing/2014/main" id="{21A299DE-0E38-4F5A-B886-1FE41D5CE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2" y="48985714"/>
          <a:ext cx="670780" cy="633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217713</xdr:colOff>
      <xdr:row>63</xdr:row>
      <xdr:rowOff>122464</xdr:rowOff>
    </xdr:from>
    <xdr:to>
      <xdr:col>2</xdr:col>
      <xdr:colOff>876484</xdr:colOff>
      <xdr:row>64</xdr:row>
      <xdr:rowOff>72266</xdr:rowOff>
    </xdr:to>
    <xdr:pic>
      <xdr:nvPicPr>
        <xdr:cNvPr id="18" name="Picture 1481">
          <a:extLst>
            <a:ext uri="{FF2B5EF4-FFF2-40B4-BE49-F238E27FC236}">
              <a16:creationId xmlns:a16="http://schemas.microsoft.com/office/drawing/2014/main" id="{383E47D5-8A33-4B79-844B-83F313EC0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6642" y="41107178"/>
          <a:ext cx="658771" cy="658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141968</xdr:colOff>
      <xdr:row>21</xdr:row>
      <xdr:rowOff>179615</xdr:rowOff>
    </xdr:from>
    <xdr:to>
      <xdr:col>2</xdr:col>
      <xdr:colOff>895290</xdr:colOff>
      <xdr:row>21</xdr:row>
      <xdr:rowOff>836386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2AE1F3-1256-4399-8F23-97DA43CB1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0897" y="13228865"/>
          <a:ext cx="753322" cy="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182336</xdr:colOff>
      <xdr:row>22</xdr:row>
      <xdr:rowOff>114299</xdr:rowOff>
    </xdr:from>
    <xdr:to>
      <xdr:col>2</xdr:col>
      <xdr:colOff>894790</xdr:colOff>
      <xdr:row>22</xdr:row>
      <xdr:rowOff>721178</xdr:rowOff>
    </xdr:to>
    <xdr:pic>
      <xdr:nvPicPr>
        <xdr:cNvPr id="19" name="Picture 6">
          <a:extLst>
            <a:ext uri="{FF2B5EF4-FFF2-40B4-BE49-F238E27FC236}">
              <a16:creationId xmlns:a16="http://schemas.microsoft.com/office/drawing/2014/main" id="{B497C12C-8526-4B36-BFE4-9DEA0C60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1265" y="50392692"/>
          <a:ext cx="720074" cy="606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190501</xdr:colOff>
      <xdr:row>11</xdr:row>
      <xdr:rowOff>108857</xdr:rowOff>
    </xdr:from>
    <xdr:to>
      <xdr:col>2</xdr:col>
      <xdr:colOff>780113</xdr:colOff>
      <xdr:row>11</xdr:row>
      <xdr:rowOff>612322</xdr:rowOff>
    </xdr:to>
    <xdr:pic>
      <xdr:nvPicPr>
        <xdr:cNvPr id="20" name="Picture 9">
          <a:extLst>
            <a:ext uri="{FF2B5EF4-FFF2-40B4-BE49-F238E27FC236}">
              <a16:creationId xmlns:a16="http://schemas.microsoft.com/office/drawing/2014/main" id="{9845FB45-7124-423C-AFEC-72EB06581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430" y="3197678"/>
          <a:ext cx="591517" cy="503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193221</xdr:colOff>
      <xdr:row>12</xdr:row>
      <xdr:rowOff>84364</xdr:rowOff>
    </xdr:from>
    <xdr:to>
      <xdr:col>2</xdr:col>
      <xdr:colOff>780928</xdr:colOff>
      <xdr:row>12</xdr:row>
      <xdr:rowOff>593544</xdr:rowOff>
    </xdr:to>
    <xdr:pic>
      <xdr:nvPicPr>
        <xdr:cNvPr id="21" name="Picture 9">
          <a:extLst>
            <a:ext uri="{FF2B5EF4-FFF2-40B4-BE49-F238E27FC236}">
              <a16:creationId xmlns:a16="http://schemas.microsoft.com/office/drawing/2014/main" id="{C628259C-9A69-46A7-BEFE-6FC810968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3839935"/>
          <a:ext cx="591517" cy="503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204107</xdr:colOff>
      <xdr:row>13</xdr:row>
      <xdr:rowOff>108857</xdr:rowOff>
    </xdr:from>
    <xdr:to>
      <xdr:col>2</xdr:col>
      <xdr:colOff>793329</xdr:colOff>
      <xdr:row>13</xdr:row>
      <xdr:rowOff>612322</xdr:rowOff>
    </xdr:to>
    <xdr:pic>
      <xdr:nvPicPr>
        <xdr:cNvPr id="34" name="Picture 10">
          <a:extLst>
            <a:ext uri="{FF2B5EF4-FFF2-40B4-BE49-F238E27FC236}">
              <a16:creationId xmlns:a16="http://schemas.microsoft.com/office/drawing/2014/main" id="{5ADA19AE-3EEB-4883-BE57-B26C60E9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3036" y="5197928"/>
          <a:ext cx="569537" cy="503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220435</xdr:colOff>
      <xdr:row>14</xdr:row>
      <xdr:rowOff>111578</xdr:rowOff>
    </xdr:from>
    <xdr:to>
      <xdr:col>2</xdr:col>
      <xdr:colOff>780447</xdr:colOff>
      <xdr:row>14</xdr:row>
      <xdr:rowOff>628378</xdr:rowOff>
    </xdr:to>
    <xdr:pic>
      <xdr:nvPicPr>
        <xdr:cNvPr id="35" name="Picture 10">
          <a:extLst>
            <a:ext uri="{FF2B5EF4-FFF2-40B4-BE49-F238E27FC236}">
              <a16:creationId xmlns:a16="http://schemas.microsoft.com/office/drawing/2014/main" id="{894DFBF7-9BB6-496C-A415-5D1712BAD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9364" y="5867399"/>
          <a:ext cx="569537" cy="503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149679</xdr:colOff>
      <xdr:row>15</xdr:row>
      <xdr:rowOff>122465</xdr:rowOff>
    </xdr:from>
    <xdr:to>
      <xdr:col>2</xdr:col>
      <xdr:colOff>971073</xdr:colOff>
      <xdr:row>15</xdr:row>
      <xdr:rowOff>603160</xdr:rowOff>
    </xdr:to>
    <xdr:pic>
      <xdr:nvPicPr>
        <xdr:cNvPr id="40" name="Picture 13">
          <a:extLst>
            <a:ext uri="{FF2B5EF4-FFF2-40B4-BE49-F238E27FC236}">
              <a16:creationId xmlns:a16="http://schemas.microsoft.com/office/drawing/2014/main" id="{79AD927F-C4A0-446E-836A-E1CB59CFB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8608" y="9212036"/>
          <a:ext cx="815679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16</xdr:row>
      <xdr:rowOff>166008</xdr:rowOff>
    </xdr:from>
    <xdr:to>
      <xdr:col>2</xdr:col>
      <xdr:colOff>969984</xdr:colOff>
      <xdr:row>16</xdr:row>
      <xdr:rowOff>627018</xdr:rowOff>
    </xdr:to>
    <xdr:pic>
      <xdr:nvPicPr>
        <xdr:cNvPr id="41" name="Picture 13">
          <a:extLst>
            <a:ext uri="{FF2B5EF4-FFF2-40B4-BE49-F238E27FC236}">
              <a16:creationId xmlns:a16="http://schemas.microsoft.com/office/drawing/2014/main" id="{A6D68CA2-D9F9-4D14-BDD7-72CC49B7A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1329" y="9922329"/>
          <a:ext cx="815679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244928</xdr:colOff>
      <xdr:row>17</xdr:row>
      <xdr:rowOff>13608</xdr:rowOff>
    </xdr:from>
    <xdr:to>
      <xdr:col>2</xdr:col>
      <xdr:colOff>932785</xdr:colOff>
      <xdr:row>17</xdr:row>
      <xdr:rowOff>628106</xdr:rowOff>
    </xdr:to>
    <xdr:pic>
      <xdr:nvPicPr>
        <xdr:cNvPr id="43" name="Picture 17">
          <a:extLst>
            <a:ext uri="{FF2B5EF4-FFF2-40B4-BE49-F238E27FC236}">
              <a16:creationId xmlns:a16="http://schemas.microsoft.com/office/drawing/2014/main" id="{38922A12-067C-453F-9BB2-7875A011F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857" y="11103429"/>
          <a:ext cx="684047" cy="625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242509</xdr:colOff>
      <xdr:row>18</xdr:row>
      <xdr:rowOff>43544</xdr:rowOff>
    </xdr:from>
    <xdr:to>
      <xdr:col>2</xdr:col>
      <xdr:colOff>949416</xdr:colOff>
      <xdr:row>19</xdr:row>
      <xdr:rowOff>2724</xdr:rowOff>
    </xdr:to>
    <xdr:pic>
      <xdr:nvPicPr>
        <xdr:cNvPr id="72" name="Picture 17">
          <a:extLst>
            <a:ext uri="{FF2B5EF4-FFF2-40B4-BE49-F238E27FC236}">
              <a16:creationId xmlns:a16="http://schemas.microsoft.com/office/drawing/2014/main" id="{E01ECF04-3F30-405B-83DD-B5C35F9A5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042" y="12294811"/>
          <a:ext cx="684047" cy="6280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211363</xdr:colOff>
      <xdr:row>20</xdr:row>
      <xdr:rowOff>103261</xdr:rowOff>
    </xdr:from>
    <xdr:to>
      <xdr:col>2</xdr:col>
      <xdr:colOff>860297</xdr:colOff>
      <xdr:row>20</xdr:row>
      <xdr:rowOff>683016</xdr:rowOff>
    </xdr:to>
    <xdr:pic>
      <xdr:nvPicPr>
        <xdr:cNvPr id="60" name="Picture 32">
          <a:extLst>
            <a:ext uri="{FF2B5EF4-FFF2-40B4-BE49-F238E27FC236}">
              <a16:creationId xmlns:a16="http://schemas.microsoft.com/office/drawing/2014/main" id="{931463AD-25EE-4994-A09E-541D5C2F3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8780" y="15978261"/>
          <a:ext cx="643219" cy="573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242054</xdr:colOff>
      <xdr:row>19</xdr:row>
      <xdr:rowOff>86328</xdr:rowOff>
    </xdr:from>
    <xdr:to>
      <xdr:col>2</xdr:col>
      <xdr:colOff>894798</xdr:colOff>
      <xdr:row>20</xdr:row>
      <xdr:rowOff>967</xdr:rowOff>
    </xdr:to>
    <xdr:pic>
      <xdr:nvPicPr>
        <xdr:cNvPr id="64" name="Picture 32">
          <a:extLst>
            <a:ext uri="{FF2B5EF4-FFF2-40B4-BE49-F238E27FC236}">
              <a16:creationId xmlns:a16="http://schemas.microsoft.com/office/drawing/2014/main" id="{A4CF7391-B65B-4745-85C3-5B40C72B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471" y="15283995"/>
          <a:ext cx="643219" cy="573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75752</xdr:colOff>
      <xdr:row>2</xdr:row>
      <xdr:rowOff>890513</xdr:rowOff>
    </xdr:from>
    <xdr:to>
      <xdr:col>2</xdr:col>
      <xdr:colOff>944484</xdr:colOff>
      <xdr:row>4</xdr:row>
      <xdr:rowOff>92417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DDFEBF36-D47E-25C1-C5BD-10B32A941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4681" y="11531299"/>
          <a:ext cx="871907" cy="625211"/>
        </a:xfrm>
        <a:prstGeom prst="rect">
          <a:avLst/>
        </a:prstGeom>
      </xdr:spPr>
    </xdr:pic>
    <xdr:clientData/>
  </xdr:twoCellAnchor>
  <xdr:twoCellAnchor editAs="oneCell">
    <xdr:from>
      <xdr:col>2</xdr:col>
      <xdr:colOff>89058</xdr:colOff>
      <xdr:row>3</xdr:row>
      <xdr:rowOff>459318</xdr:rowOff>
    </xdr:from>
    <xdr:to>
      <xdr:col>2</xdr:col>
      <xdr:colOff>987635</xdr:colOff>
      <xdr:row>5</xdr:row>
      <xdr:rowOff>17456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411C2A3C-FFE3-4AEB-8844-5D72A6569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6475" y="1390651"/>
          <a:ext cx="871907" cy="616472"/>
        </a:xfrm>
        <a:prstGeom prst="rect">
          <a:avLst/>
        </a:prstGeom>
      </xdr:spPr>
    </xdr:pic>
    <xdr:clientData/>
  </xdr:twoCellAnchor>
  <xdr:twoCellAnchor editAs="oneCell">
    <xdr:from>
      <xdr:col>2</xdr:col>
      <xdr:colOff>189448</xdr:colOff>
      <xdr:row>24</xdr:row>
      <xdr:rowOff>818245</xdr:rowOff>
    </xdr:from>
    <xdr:to>
      <xdr:col>2</xdr:col>
      <xdr:colOff>1058180</xdr:colOff>
      <xdr:row>26</xdr:row>
      <xdr:rowOff>87457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FE8CF4E1-B3F6-4F0C-AD4D-3B5E1E7CC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734" y="24998138"/>
          <a:ext cx="871907" cy="629019"/>
        </a:xfrm>
        <a:prstGeom prst="rect">
          <a:avLst/>
        </a:prstGeom>
      </xdr:spPr>
    </xdr:pic>
    <xdr:clientData/>
  </xdr:twoCellAnchor>
  <xdr:twoCellAnchor editAs="oneCell">
    <xdr:from>
      <xdr:col>2</xdr:col>
      <xdr:colOff>94620</xdr:colOff>
      <xdr:row>24</xdr:row>
      <xdr:rowOff>81644</xdr:rowOff>
    </xdr:from>
    <xdr:to>
      <xdr:col>2</xdr:col>
      <xdr:colOff>997642</xdr:colOff>
      <xdr:row>24</xdr:row>
      <xdr:rowOff>722094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C82BEB74-0C0D-443B-90BD-A51E34D16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906" y="23445108"/>
          <a:ext cx="906197" cy="640450"/>
        </a:xfrm>
        <a:prstGeom prst="rect">
          <a:avLst/>
        </a:prstGeom>
      </xdr:spPr>
    </xdr:pic>
    <xdr:clientData/>
  </xdr:twoCellAnchor>
  <xdr:twoCellAnchor editAs="oneCell">
    <xdr:from>
      <xdr:col>2</xdr:col>
      <xdr:colOff>99640</xdr:colOff>
      <xdr:row>8</xdr:row>
      <xdr:rowOff>0</xdr:rowOff>
    </xdr:from>
    <xdr:to>
      <xdr:col>2</xdr:col>
      <xdr:colOff>971547</xdr:colOff>
      <xdr:row>9</xdr:row>
      <xdr:rowOff>56613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12CA1923-6FBA-47EF-81BC-1F9B657F8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057" y="4047068"/>
          <a:ext cx="871907" cy="616472"/>
        </a:xfrm>
        <a:prstGeom prst="rect">
          <a:avLst/>
        </a:prstGeom>
      </xdr:spPr>
    </xdr:pic>
    <xdr:clientData/>
  </xdr:twoCellAnchor>
  <xdr:twoCellAnchor editAs="oneCell">
    <xdr:from>
      <xdr:col>2</xdr:col>
      <xdr:colOff>114457</xdr:colOff>
      <xdr:row>8</xdr:row>
      <xdr:rowOff>484718</xdr:rowOff>
    </xdr:from>
    <xdr:to>
      <xdr:col>2</xdr:col>
      <xdr:colOff>971124</xdr:colOff>
      <xdr:row>10</xdr:row>
      <xdr:rowOff>35024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7C42C912-43C1-4A42-B482-AC75E10C8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1874" y="4591051"/>
          <a:ext cx="871907" cy="6164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892227</xdr:colOff>
      <xdr:row>6</xdr:row>
      <xdr:rowOff>95893</xdr:rowOff>
    </xdr:to>
    <xdr:pic>
      <xdr:nvPicPr>
        <xdr:cNvPr id="4" name="Imagem 75">
          <a:extLst>
            <a:ext uri="{FF2B5EF4-FFF2-40B4-BE49-F238E27FC236}">
              <a16:creationId xmlns:a16="http://schemas.microsoft.com/office/drawing/2014/main" id="{F8A30F04-5704-486D-BDAE-A06AA1B64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3486" y="1959429"/>
          <a:ext cx="883337" cy="6031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892227</xdr:colOff>
      <xdr:row>7</xdr:row>
      <xdr:rowOff>95893</xdr:rowOff>
    </xdr:to>
    <xdr:pic>
      <xdr:nvPicPr>
        <xdr:cNvPr id="5" name="Imagem 75">
          <a:extLst>
            <a:ext uri="{FF2B5EF4-FFF2-40B4-BE49-F238E27FC236}">
              <a16:creationId xmlns:a16="http://schemas.microsoft.com/office/drawing/2014/main" id="{22383F19-75E7-4F47-B17E-0113B8EB0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3486" y="2481943"/>
          <a:ext cx="883337" cy="6031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892227</xdr:colOff>
      <xdr:row>8</xdr:row>
      <xdr:rowOff>95893</xdr:rowOff>
    </xdr:to>
    <xdr:pic>
      <xdr:nvPicPr>
        <xdr:cNvPr id="6" name="Imagem 75">
          <a:extLst>
            <a:ext uri="{FF2B5EF4-FFF2-40B4-BE49-F238E27FC236}">
              <a16:creationId xmlns:a16="http://schemas.microsoft.com/office/drawing/2014/main" id="{CF2D6CF4-6FCD-428E-B324-BABCD3163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29" y="3143250"/>
          <a:ext cx="882702" cy="626572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136072</xdr:colOff>
      <xdr:row>33</xdr:row>
      <xdr:rowOff>0</xdr:rowOff>
    </xdr:from>
    <xdr:to>
      <xdr:col>2</xdr:col>
      <xdr:colOff>1028299</xdr:colOff>
      <xdr:row>34</xdr:row>
      <xdr:rowOff>95894</xdr:rowOff>
    </xdr:to>
    <xdr:pic>
      <xdr:nvPicPr>
        <xdr:cNvPr id="10" name="Imagem 75">
          <a:extLst>
            <a:ext uri="{FF2B5EF4-FFF2-40B4-BE49-F238E27FC236}">
              <a16:creationId xmlns:a16="http://schemas.microsoft.com/office/drawing/2014/main" id="{EF53D407-E194-4B3F-9FCD-2D342AC0D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22288500"/>
          <a:ext cx="892227" cy="6265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892227</xdr:colOff>
      <xdr:row>35</xdr:row>
      <xdr:rowOff>95893</xdr:rowOff>
    </xdr:to>
    <xdr:pic>
      <xdr:nvPicPr>
        <xdr:cNvPr id="14" name="Imagem 75">
          <a:extLst>
            <a:ext uri="{FF2B5EF4-FFF2-40B4-BE49-F238E27FC236}">
              <a16:creationId xmlns:a16="http://schemas.microsoft.com/office/drawing/2014/main" id="{85AF96D5-1AE3-4B3F-86DF-0D2410589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29" y="4204607"/>
          <a:ext cx="882702" cy="6265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892227</xdr:colOff>
      <xdr:row>36</xdr:row>
      <xdr:rowOff>95894</xdr:rowOff>
    </xdr:to>
    <xdr:pic>
      <xdr:nvPicPr>
        <xdr:cNvPr id="16" name="Imagem 75">
          <a:extLst>
            <a:ext uri="{FF2B5EF4-FFF2-40B4-BE49-F238E27FC236}">
              <a16:creationId xmlns:a16="http://schemas.microsoft.com/office/drawing/2014/main" id="{98C87322-815A-4A4D-97F6-69C8E23EE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29" y="4735286"/>
          <a:ext cx="882702" cy="626572"/>
        </a:xfrm>
        <a:prstGeom prst="rect">
          <a:avLst/>
        </a:prstGeom>
      </xdr:spPr>
    </xdr:pic>
    <xdr:clientData/>
  </xdr:twoCellAnchor>
  <xdr:twoCellAnchor editAs="oneCell">
    <xdr:from>
      <xdr:col>2</xdr:col>
      <xdr:colOff>149680</xdr:colOff>
      <xdr:row>10</xdr:row>
      <xdr:rowOff>27214</xdr:rowOff>
    </xdr:from>
    <xdr:to>
      <xdr:col>2</xdr:col>
      <xdr:colOff>952500</xdr:colOff>
      <xdr:row>10</xdr:row>
      <xdr:rowOff>874464</xdr:rowOff>
    </xdr:to>
    <xdr:pic>
      <xdr:nvPicPr>
        <xdr:cNvPr id="23" name="Imagem 11">
          <a:extLst>
            <a:ext uri="{FF2B5EF4-FFF2-40B4-BE49-F238E27FC236}">
              <a16:creationId xmlns:a16="http://schemas.microsoft.com/office/drawing/2014/main" id="{C1729DB2-5260-44CC-90A4-CD039517C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8609" y="14940643"/>
          <a:ext cx="802820" cy="83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99913</xdr:colOff>
      <xdr:row>22</xdr:row>
      <xdr:rowOff>816640</xdr:rowOff>
    </xdr:from>
    <xdr:ext cx="887147" cy="634101"/>
    <xdr:pic>
      <xdr:nvPicPr>
        <xdr:cNvPr id="36" name="Imagem 35">
          <a:extLst>
            <a:ext uri="{FF2B5EF4-FFF2-40B4-BE49-F238E27FC236}">
              <a16:creationId xmlns:a16="http://schemas.microsoft.com/office/drawing/2014/main" id="{14E8AD55-8C87-4BF4-B6CC-7EBEB286A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8199" y="14110819"/>
          <a:ext cx="887147" cy="634101"/>
        </a:xfrm>
        <a:prstGeom prst="rect">
          <a:avLst/>
        </a:prstGeom>
      </xdr:spPr>
    </xdr:pic>
    <xdr:clientData/>
  </xdr:oneCellAnchor>
  <xdr:oneCellAnchor>
    <xdr:from>
      <xdr:col>2</xdr:col>
      <xdr:colOff>127128</xdr:colOff>
      <xdr:row>37</xdr:row>
      <xdr:rowOff>47385</xdr:rowOff>
    </xdr:from>
    <xdr:ext cx="883972" cy="624576"/>
    <xdr:pic>
      <xdr:nvPicPr>
        <xdr:cNvPr id="39" name="Imagem 38">
          <a:extLst>
            <a:ext uri="{FF2B5EF4-FFF2-40B4-BE49-F238E27FC236}">
              <a16:creationId xmlns:a16="http://schemas.microsoft.com/office/drawing/2014/main" id="{FC30CB49-2183-4DB2-ACD1-05D84E004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5414" y="17709456"/>
          <a:ext cx="883972" cy="624576"/>
        </a:xfrm>
        <a:prstGeom prst="rect">
          <a:avLst/>
        </a:prstGeom>
      </xdr:spPr>
    </xdr:pic>
    <xdr:clientData/>
  </xdr:oneCellAnchor>
  <xdr:twoCellAnchor>
    <xdr:from>
      <xdr:col>2</xdr:col>
      <xdr:colOff>163285</xdr:colOff>
      <xdr:row>45</xdr:row>
      <xdr:rowOff>176895</xdr:rowOff>
    </xdr:from>
    <xdr:to>
      <xdr:col>2</xdr:col>
      <xdr:colOff>938892</xdr:colOff>
      <xdr:row>45</xdr:row>
      <xdr:rowOff>736638</xdr:rowOff>
    </xdr:to>
    <xdr:pic>
      <xdr:nvPicPr>
        <xdr:cNvPr id="42" name="Imagem 5">
          <a:extLst>
            <a:ext uri="{FF2B5EF4-FFF2-40B4-BE49-F238E27FC236}">
              <a16:creationId xmlns:a16="http://schemas.microsoft.com/office/drawing/2014/main" id="{C34C02D7-BACE-189E-3FFF-7EC56D71E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214" y="23322645"/>
          <a:ext cx="775607" cy="55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204108</xdr:colOff>
      <xdr:row>38</xdr:row>
      <xdr:rowOff>40822</xdr:rowOff>
    </xdr:from>
    <xdr:to>
      <xdr:col>2</xdr:col>
      <xdr:colOff>825954</xdr:colOff>
      <xdr:row>38</xdr:row>
      <xdr:rowOff>659493</xdr:rowOff>
    </xdr:to>
    <xdr:pic>
      <xdr:nvPicPr>
        <xdr:cNvPr id="48" name="Imagem 9">
          <a:extLst>
            <a:ext uri="{FF2B5EF4-FFF2-40B4-BE49-F238E27FC236}">
              <a16:creationId xmlns:a16="http://schemas.microsoft.com/office/drawing/2014/main" id="{C78A0E3D-8AA1-4EE2-982E-7F367F090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3037" y="16913679"/>
          <a:ext cx="618671" cy="618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189140</xdr:colOff>
      <xdr:row>39</xdr:row>
      <xdr:rowOff>30389</xdr:rowOff>
    </xdr:from>
    <xdr:to>
      <xdr:col>2</xdr:col>
      <xdr:colOff>907143</xdr:colOff>
      <xdr:row>40</xdr:row>
      <xdr:rowOff>9536</xdr:rowOff>
    </xdr:to>
    <xdr:pic>
      <xdr:nvPicPr>
        <xdr:cNvPr id="61" name="Imagem 7">
          <a:extLst>
            <a:ext uri="{FF2B5EF4-FFF2-40B4-BE49-F238E27FC236}">
              <a16:creationId xmlns:a16="http://schemas.microsoft.com/office/drawing/2014/main" id="{B0AB2470-E80B-4C8D-8BBC-9F840610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0069" y="24346353"/>
          <a:ext cx="718003" cy="659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163287</xdr:colOff>
      <xdr:row>41</xdr:row>
      <xdr:rowOff>13607</xdr:rowOff>
    </xdr:from>
    <xdr:to>
      <xdr:col>2</xdr:col>
      <xdr:colOff>887640</xdr:colOff>
      <xdr:row>41</xdr:row>
      <xdr:rowOff>668192</xdr:rowOff>
    </xdr:to>
    <xdr:pic>
      <xdr:nvPicPr>
        <xdr:cNvPr id="69" name="Picture 40" descr="Escadote Linha de Segurança - Portimpact">
          <a:extLst>
            <a:ext uri="{FF2B5EF4-FFF2-40B4-BE49-F238E27FC236}">
              <a16:creationId xmlns:a16="http://schemas.microsoft.com/office/drawing/2014/main" id="{4AFBA2E8-9F0B-4A1D-BF41-D550072F8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216" y="18981964"/>
          <a:ext cx="721178" cy="65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27216</xdr:colOff>
      <xdr:row>29</xdr:row>
      <xdr:rowOff>37645</xdr:rowOff>
    </xdr:from>
    <xdr:to>
      <xdr:col>2</xdr:col>
      <xdr:colOff>555185</xdr:colOff>
      <xdr:row>29</xdr:row>
      <xdr:rowOff>744425</xdr:rowOff>
    </xdr:to>
    <xdr:pic>
      <xdr:nvPicPr>
        <xdr:cNvPr id="73" name="Imagem 14">
          <a:extLst>
            <a:ext uri="{FF2B5EF4-FFF2-40B4-BE49-F238E27FC236}">
              <a16:creationId xmlns:a16="http://schemas.microsoft.com/office/drawing/2014/main" id="{9BC2C1AB-8063-4EE1-A8E4-CB77B94F3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2" y="24217538"/>
          <a:ext cx="527969" cy="70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685099</xdr:colOff>
      <xdr:row>29</xdr:row>
      <xdr:rowOff>141059</xdr:rowOff>
    </xdr:from>
    <xdr:to>
      <xdr:col>2</xdr:col>
      <xdr:colOff>1197428</xdr:colOff>
      <xdr:row>29</xdr:row>
      <xdr:rowOff>607248</xdr:rowOff>
    </xdr:to>
    <xdr:pic>
      <xdr:nvPicPr>
        <xdr:cNvPr id="74" name="Imagem 14">
          <a:extLst>
            <a:ext uri="{FF2B5EF4-FFF2-40B4-BE49-F238E27FC236}">
              <a16:creationId xmlns:a16="http://schemas.microsoft.com/office/drawing/2014/main" id="{C0DC2D4A-9FCF-4BD6-922C-27B749B9E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3385" y="24320952"/>
          <a:ext cx="512329" cy="4661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38101</xdr:colOff>
      <xdr:row>47</xdr:row>
      <xdr:rowOff>169637</xdr:rowOff>
    </xdr:from>
    <xdr:to>
      <xdr:col>2</xdr:col>
      <xdr:colOff>1044658</xdr:colOff>
      <xdr:row>47</xdr:row>
      <xdr:rowOff>849994</xdr:rowOff>
    </xdr:to>
    <xdr:pic>
      <xdr:nvPicPr>
        <xdr:cNvPr id="75" name="Imagem 3">
          <a:extLst>
            <a:ext uri="{FF2B5EF4-FFF2-40B4-BE49-F238E27FC236}">
              <a16:creationId xmlns:a16="http://schemas.microsoft.com/office/drawing/2014/main" id="{D7BEB2E9-00B1-49D6-8874-85B58952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7030" y="30078137"/>
          <a:ext cx="1003382" cy="6740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50346</xdr:colOff>
      <xdr:row>48</xdr:row>
      <xdr:rowOff>168440</xdr:rowOff>
    </xdr:from>
    <xdr:to>
      <xdr:col>2</xdr:col>
      <xdr:colOff>1040492</xdr:colOff>
      <xdr:row>48</xdr:row>
      <xdr:rowOff>840062</xdr:rowOff>
    </xdr:to>
    <xdr:pic>
      <xdr:nvPicPr>
        <xdr:cNvPr id="83" name="Imagem 4">
          <a:extLst>
            <a:ext uri="{FF2B5EF4-FFF2-40B4-BE49-F238E27FC236}">
              <a16:creationId xmlns:a16="http://schemas.microsoft.com/office/drawing/2014/main" id="{A6D1DDD0-9C7B-49AF-9641-05428E6FC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31083869"/>
          <a:ext cx="986971" cy="671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511550</xdr:colOff>
      <xdr:row>49</xdr:row>
      <xdr:rowOff>71209</xdr:rowOff>
    </xdr:from>
    <xdr:to>
      <xdr:col>2</xdr:col>
      <xdr:colOff>945242</xdr:colOff>
      <xdr:row>49</xdr:row>
      <xdr:rowOff>934809</xdr:rowOff>
    </xdr:to>
    <xdr:pic>
      <xdr:nvPicPr>
        <xdr:cNvPr id="84" name="Imagem 18">
          <a:extLst>
            <a:ext uri="{FF2B5EF4-FFF2-40B4-BE49-F238E27FC236}">
              <a16:creationId xmlns:a16="http://schemas.microsoft.com/office/drawing/2014/main" id="{365D370B-DF9B-4417-99BA-F55F52426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0479" y="31993566"/>
          <a:ext cx="427342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164193</xdr:colOff>
      <xdr:row>50</xdr:row>
      <xdr:rowOff>76818</xdr:rowOff>
    </xdr:from>
    <xdr:to>
      <xdr:col>2</xdr:col>
      <xdr:colOff>877122</xdr:colOff>
      <xdr:row>51</xdr:row>
      <xdr:rowOff>156028</xdr:rowOff>
    </xdr:to>
    <xdr:pic>
      <xdr:nvPicPr>
        <xdr:cNvPr id="86" name="Imagem 16">
          <a:extLst>
            <a:ext uri="{FF2B5EF4-FFF2-40B4-BE49-F238E27FC236}">
              <a16:creationId xmlns:a16="http://schemas.microsoft.com/office/drawing/2014/main" id="{98D048D8-5CD1-4E39-B85A-19378DA08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122" y="33006104"/>
          <a:ext cx="712929" cy="848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224066</xdr:colOff>
      <xdr:row>51</xdr:row>
      <xdr:rowOff>54428</xdr:rowOff>
    </xdr:from>
    <xdr:to>
      <xdr:col>2</xdr:col>
      <xdr:colOff>792390</xdr:colOff>
      <xdr:row>51</xdr:row>
      <xdr:rowOff>721154</xdr:rowOff>
    </xdr:to>
    <xdr:pic>
      <xdr:nvPicPr>
        <xdr:cNvPr id="87" name="Imagem 56">
          <a:extLst>
            <a:ext uri="{FF2B5EF4-FFF2-40B4-BE49-F238E27FC236}">
              <a16:creationId xmlns:a16="http://schemas.microsoft.com/office/drawing/2014/main" id="{A2ADBB3C-A067-4BCA-A73F-58A5EE0CA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995" y="33990642"/>
          <a:ext cx="568324" cy="666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196849</xdr:colOff>
      <xdr:row>52</xdr:row>
      <xdr:rowOff>68037</xdr:rowOff>
    </xdr:from>
    <xdr:to>
      <xdr:col>2</xdr:col>
      <xdr:colOff>836385</xdr:colOff>
      <xdr:row>53</xdr:row>
      <xdr:rowOff>22447</xdr:rowOff>
    </xdr:to>
    <xdr:pic>
      <xdr:nvPicPr>
        <xdr:cNvPr id="88" name="Imagem 57">
          <a:extLst>
            <a:ext uri="{FF2B5EF4-FFF2-40B4-BE49-F238E27FC236}">
              <a16:creationId xmlns:a16="http://schemas.microsoft.com/office/drawing/2014/main" id="{7F869029-65B5-4D11-9E04-7629AD615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5778" y="34779858"/>
          <a:ext cx="633186" cy="770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176892</xdr:colOff>
      <xdr:row>53</xdr:row>
      <xdr:rowOff>51253</xdr:rowOff>
    </xdr:from>
    <xdr:to>
      <xdr:col>2</xdr:col>
      <xdr:colOff>945242</xdr:colOff>
      <xdr:row>53</xdr:row>
      <xdr:rowOff>792540</xdr:rowOff>
    </xdr:to>
    <xdr:pic>
      <xdr:nvPicPr>
        <xdr:cNvPr id="89" name="Imagem 8">
          <a:extLst>
            <a:ext uri="{FF2B5EF4-FFF2-40B4-BE49-F238E27FC236}">
              <a16:creationId xmlns:a16="http://schemas.microsoft.com/office/drawing/2014/main" id="{18763AE4-04C5-4C92-91FA-15041BB3E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5821" y="35620324"/>
          <a:ext cx="765175" cy="744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178006</xdr:colOff>
      <xdr:row>54</xdr:row>
      <xdr:rowOff>40118</xdr:rowOff>
    </xdr:from>
    <xdr:to>
      <xdr:col>2</xdr:col>
      <xdr:colOff>888547</xdr:colOff>
      <xdr:row>54</xdr:row>
      <xdr:rowOff>755311</xdr:rowOff>
    </xdr:to>
    <xdr:pic>
      <xdr:nvPicPr>
        <xdr:cNvPr id="90" name="Imagem 3">
          <a:extLst>
            <a:ext uri="{FF2B5EF4-FFF2-40B4-BE49-F238E27FC236}">
              <a16:creationId xmlns:a16="http://schemas.microsoft.com/office/drawing/2014/main" id="{0A029449-BBF4-4F8E-849B-F4F8003DD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935" y="36439225"/>
          <a:ext cx="713716" cy="715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316138</xdr:colOff>
      <xdr:row>57</xdr:row>
      <xdr:rowOff>54429</xdr:rowOff>
    </xdr:from>
    <xdr:to>
      <xdr:col>2</xdr:col>
      <xdr:colOff>721178</xdr:colOff>
      <xdr:row>57</xdr:row>
      <xdr:rowOff>857004</xdr:rowOff>
    </xdr:to>
    <xdr:pic>
      <xdr:nvPicPr>
        <xdr:cNvPr id="91" name="Imagem 1">
          <a:extLst>
            <a:ext uri="{FF2B5EF4-FFF2-40B4-BE49-F238E27FC236}">
              <a16:creationId xmlns:a16="http://schemas.microsoft.com/office/drawing/2014/main" id="{B76E2AB0-8A4F-4802-B553-B5B5B473A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067" y="39215786"/>
          <a:ext cx="405040" cy="80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159204</xdr:colOff>
      <xdr:row>61</xdr:row>
      <xdr:rowOff>54428</xdr:rowOff>
    </xdr:from>
    <xdr:to>
      <xdr:col>2</xdr:col>
      <xdr:colOff>914437</xdr:colOff>
      <xdr:row>61</xdr:row>
      <xdr:rowOff>921147</xdr:rowOff>
    </xdr:to>
    <xdr:pic>
      <xdr:nvPicPr>
        <xdr:cNvPr id="93" name="Imagem 4">
          <a:extLst>
            <a:ext uri="{FF2B5EF4-FFF2-40B4-BE49-F238E27FC236}">
              <a16:creationId xmlns:a16="http://schemas.microsoft.com/office/drawing/2014/main" id="{39E2118D-F39F-4429-9CD4-53D35C666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8133" y="42903321"/>
          <a:ext cx="755233" cy="863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296184</xdr:colOff>
      <xdr:row>62</xdr:row>
      <xdr:rowOff>24039</xdr:rowOff>
    </xdr:from>
    <xdr:to>
      <xdr:col>2</xdr:col>
      <xdr:colOff>793178</xdr:colOff>
      <xdr:row>63</xdr:row>
      <xdr:rowOff>84816</xdr:rowOff>
    </xdr:to>
    <xdr:pic>
      <xdr:nvPicPr>
        <xdr:cNvPr id="94" name="Imagem 6">
          <a:extLst>
            <a:ext uri="{FF2B5EF4-FFF2-40B4-BE49-F238E27FC236}">
              <a16:creationId xmlns:a16="http://schemas.microsoft.com/office/drawing/2014/main" id="{4A4C0B7B-8169-4662-8216-DECE99BE6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113" y="44043146"/>
          <a:ext cx="493819" cy="955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143327</xdr:colOff>
      <xdr:row>59</xdr:row>
      <xdr:rowOff>57604</xdr:rowOff>
    </xdr:from>
    <xdr:to>
      <xdr:col>2</xdr:col>
      <xdr:colOff>950449</xdr:colOff>
      <xdr:row>59</xdr:row>
      <xdr:rowOff>869496</xdr:rowOff>
    </xdr:to>
    <xdr:pic>
      <xdr:nvPicPr>
        <xdr:cNvPr id="95" name="Imagem 7">
          <a:extLst>
            <a:ext uri="{FF2B5EF4-FFF2-40B4-BE49-F238E27FC236}">
              <a16:creationId xmlns:a16="http://schemas.microsoft.com/office/drawing/2014/main" id="{4A845323-B9EF-43C0-AF9B-BF3E79370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256" y="40960675"/>
          <a:ext cx="794422" cy="808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204107</xdr:colOff>
      <xdr:row>56</xdr:row>
      <xdr:rowOff>54429</xdr:rowOff>
    </xdr:from>
    <xdr:to>
      <xdr:col>2</xdr:col>
      <xdr:colOff>878501</xdr:colOff>
      <xdr:row>57</xdr:row>
      <xdr:rowOff>3176</xdr:rowOff>
    </xdr:to>
    <xdr:pic>
      <xdr:nvPicPr>
        <xdr:cNvPr id="96" name="Imagem 14">
          <a:extLst>
            <a:ext uri="{FF2B5EF4-FFF2-40B4-BE49-F238E27FC236}">
              <a16:creationId xmlns:a16="http://schemas.microsoft.com/office/drawing/2014/main" id="{C57FC6EE-4004-4B3B-978D-791294583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3036" y="38344929"/>
          <a:ext cx="674394" cy="81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13607</xdr:colOff>
      <xdr:row>60</xdr:row>
      <xdr:rowOff>149679</xdr:rowOff>
    </xdr:from>
    <xdr:to>
      <xdr:col>2</xdr:col>
      <xdr:colOff>1021022</xdr:colOff>
      <xdr:row>60</xdr:row>
      <xdr:rowOff>874033</xdr:rowOff>
    </xdr:to>
    <xdr:pic>
      <xdr:nvPicPr>
        <xdr:cNvPr id="97" name="Imagem 16">
          <a:extLst>
            <a:ext uri="{FF2B5EF4-FFF2-40B4-BE49-F238E27FC236}">
              <a16:creationId xmlns:a16="http://schemas.microsoft.com/office/drawing/2014/main" id="{133AF607-5AE8-4090-9C37-AE0D1F0E4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2536" y="42848893"/>
          <a:ext cx="1001065" cy="72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54428</xdr:colOff>
      <xdr:row>58</xdr:row>
      <xdr:rowOff>68037</xdr:rowOff>
    </xdr:from>
    <xdr:to>
      <xdr:col>2</xdr:col>
      <xdr:colOff>1047833</xdr:colOff>
      <xdr:row>58</xdr:row>
      <xdr:rowOff>873126</xdr:rowOff>
    </xdr:to>
    <xdr:pic>
      <xdr:nvPicPr>
        <xdr:cNvPr id="98" name="Imagem 4">
          <a:extLst>
            <a:ext uri="{FF2B5EF4-FFF2-40B4-BE49-F238E27FC236}">
              <a16:creationId xmlns:a16="http://schemas.microsoft.com/office/drawing/2014/main" id="{80926F7F-BDEA-4FB6-80D0-1593F6BB4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3357" y="40168287"/>
          <a:ext cx="993405" cy="792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272144</xdr:colOff>
      <xdr:row>67</xdr:row>
      <xdr:rowOff>40821</xdr:rowOff>
    </xdr:from>
    <xdr:to>
      <xdr:col>2</xdr:col>
      <xdr:colOff>836387</xdr:colOff>
      <xdr:row>67</xdr:row>
      <xdr:rowOff>743697</xdr:rowOff>
    </xdr:to>
    <xdr:pic>
      <xdr:nvPicPr>
        <xdr:cNvPr id="99" name="Imagem 3">
          <a:extLst>
            <a:ext uri="{FF2B5EF4-FFF2-40B4-BE49-F238E27FC236}">
              <a16:creationId xmlns:a16="http://schemas.microsoft.com/office/drawing/2014/main" id="{B0C02EEF-7748-47AA-AFB1-4A0B701D3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1073" y="47829107"/>
          <a:ext cx="554718" cy="7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176893</xdr:colOff>
      <xdr:row>69</xdr:row>
      <xdr:rowOff>68035</xdr:rowOff>
    </xdr:from>
    <xdr:to>
      <xdr:col>2</xdr:col>
      <xdr:colOff>887639</xdr:colOff>
      <xdr:row>69</xdr:row>
      <xdr:rowOff>874072</xdr:rowOff>
    </xdr:to>
    <xdr:pic>
      <xdr:nvPicPr>
        <xdr:cNvPr id="100" name="Imagem 12">
          <a:extLst>
            <a:ext uri="{FF2B5EF4-FFF2-40B4-BE49-F238E27FC236}">
              <a16:creationId xmlns:a16="http://schemas.microsoft.com/office/drawing/2014/main" id="{422D520D-1412-478C-8F22-FFD76AFE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822" y="49815749"/>
          <a:ext cx="710746" cy="806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211365</xdr:colOff>
      <xdr:row>68</xdr:row>
      <xdr:rowOff>54428</xdr:rowOff>
    </xdr:from>
    <xdr:to>
      <xdr:col>2</xdr:col>
      <xdr:colOff>893029</xdr:colOff>
      <xdr:row>68</xdr:row>
      <xdr:rowOff>792389</xdr:rowOff>
    </xdr:to>
    <xdr:pic>
      <xdr:nvPicPr>
        <xdr:cNvPr id="101" name="Imagem 14">
          <a:extLst>
            <a:ext uri="{FF2B5EF4-FFF2-40B4-BE49-F238E27FC236}">
              <a16:creationId xmlns:a16="http://schemas.microsoft.com/office/drawing/2014/main" id="{D3E7B7C2-A88B-4CCF-8CC3-B7FD67DD4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0294" y="49203428"/>
          <a:ext cx="672139" cy="737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70</xdr:row>
      <xdr:rowOff>27213</xdr:rowOff>
    </xdr:from>
    <xdr:to>
      <xdr:col>2</xdr:col>
      <xdr:colOff>945243</xdr:colOff>
      <xdr:row>74</xdr:row>
      <xdr:rowOff>28304</xdr:rowOff>
    </xdr:to>
    <xdr:pic>
      <xdr:nvPicPr>
        <xdr:cNvPr id="102" name="Imagem 10">
          <a:extLst>
            <a:ext uri="{FF2B5EF4-FFF2-40B4-BE49-F238E27FC236}">
              <a16:creationId xmlns:a16="http://schemas.microsoft.com/office/drawing/2014/main" id="{85AD81D6-DAD7-4163-91F1-0208C02A3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9" y="50945142"/>
          <a:ext cx="843643" cy="974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125640</xdr:colOff>
      <xdr:row>46</xdr:row>
      <xdr:rowOff>30390</xdr:rowOff>
    </xdr:from>
    <xdr:ext cx="769521" cy="710747"/>
    <xdr:pic>
      <xdr:nvPicPr>
        <xdr:cNvPr id="8" name="Picture 1361">
          <a:extLst>
            <a:ext uri="{FF2B5EF4-FFF2-40B4-BE49-F238E27FC236}">
              <a16:creationId xmlns:a16="http://schemas.microsoft.com/office/drawing/2014/main" id="{3513F66B-905F-4FD7-8FDB-90E59CBD6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6569" y="30129390"/>
          <a:ext cx="769521" cy="710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612322</xdr:colOff>
      <xdr:row>10</xdr:row>
      <xdr:rowOff>0</xdr:rowOff>
    </xdr:from>
    <xdr:to>
      <xdr:col>2</xdr:col>
      <xdr:colOff>130227</xdr:colOff>
      <xdr:row>10</xdr:row>
      <xdr:rowOff>626573</xdr:rowOff>
    </xdr:to>
    <xdr:pic>
      <xdr:nvPicPr>
        <xdr:cNvPr id="2" name="Imagem 75">
          <a:extLst>
            <a:ext uri="{FF2B5EF4-FFF2-40B4-BE49-F238E27FC236}">
              <a16:creationId xmlns:a16="http://schemas.microsoft.com/office/drawing/2014/main" id="{3F0B0DDD-27A2-4947-A496-02A66B673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29" y="4735286"/>
          <a:ext cx="892227" cy="6265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892227</xdr:colOff>
      <xdr:row>37</xdr:row>
      <xdr:rowOff>95894</xdr:rowOff>
    </xdr:to>
    <xdr:pic>
      <xdr:nvPicPr>
        <xdr:cNvPr id="3" name="Imagem 75">
          <a:extLst>
            <a:ext uri="{FF2B5EF4-FFF2-40B4-BE49-F238E27FC236}">
              <a16:creationId xmlns:a16="http://schemas.microsoft.com/office/drawing/2014/main" id="{59235488-A857-41EE-BAB6-AABBC69EE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0929" y="23050500"/>
          <a:ext cx="892227" cy="62657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326B-06DA-4E76-A52E-78BECF2CE392}">
  <dimension ref="A1:N640"/>
  <sheetViews>
    <sheetView showGridLines="0" tabSelected="1" zoomScale="70" zoomScaleNormal="70" workbookViewId="0">
      <pane ySplit="1" topLeftCell="A54" activePane="bottomLeft" state="frozen"/>
      <selection pane="bottomLeft" activeCell="E55" sqref="E55"/>
    </sheetView>
  </sheetViews>
  <sheetFormatPr defaultColWidth="9" defaultRowHeight="18"/>
  <cols>
    <col min="1" max="1" width="15.125" style="2" bestFit="1" customWidth="1"/>
    <col min="2" max="2" width="18" style="2" bestFit="1" customWidth="1"/>
    <col min="3" max="3" width="16.125" style="2" customWidth="1"/>
    <col min="4" max="4" width="3.375" style="2" customWidth="1"/>
    <col min="5" max="5" width="44.75" style="23" bestFit="1" customWidth="1"/>
    <col min="6" max="6" width="65.5" style="2" bestFit="1" customWidth="1"/>
    <col min="7" max="7" width="13.625" style="4" customWidth="1"/>
    <col min="8" max="9" width="12.625" style="6" customWidth="1"/>
    <col min="10" max="11" width="12.625" style="5" customWidth="1"/>
    <col min="12" max="12" width="11.875" style="3" bestFit="1" customWidth="1"/>
    <col min="13" max="13" width="28.75" style="3" bestFit="1" customWidth="1"/>
    <col min="14" max="14" width="10.25" style="2" bestFit="1" customWidth="1"/>
    <col min="15" max="15" width="9.875" style="2" bestFit="1" customWidth="1"/>
    <col min="16" max="16" width="9.875" style="2" customWidth="1"/>
    <col min="17" max="17" width="9.5" style="2" bestFit="1" customWidth="1"/>
    <col min="18" max="18" width="10.125" style="2" customWidth="1"/>
    <col min="19" max="19" width="14.625" style="2" customWidth="1"/>
    <col min="20" max="20" width="17.625" style="2" bestFit="1" customWidth="1"/>
    <col min="21" max="21" width="9.875" style="2" bestFit="1" customWidth="1"/>
    <col min="22" max="16384" width="9" style="2"/>
  </cols>
  <sheetData>
    <row r="1" spans="1:14" ht="18.600000000000001" customHeight="1">
      <c r="A1" s="29"/>
      <c r="B1" s="29"/>
      <c r="C1" s="29"/>
      <c r="D1" s="29"/>
      <c r="E1" s="29"/>
      <c r="F1" s="29"/>
      <c r="G1" s="38"/>
      <c r="H1" s="90" t="s">
        <v>0</v>
      </c>
      <c r="I1" s="91"/>
      <c r="J1" s="91"/>
      <c r="K1" s="91"/>
      <c r="L1" s="1"/>
      <c r="M1" s="2"/>
    </row>
    <row r="2" spans="1:14" ht="18.600000000000001" customHeight="1">
      <c r="A2" s="29"/>
      <c r="B2" s="29"/>
      <c r="C2" s="29"/>
      <c r="D2" s="29"/>
      <c r="E2" s="29"/>
      <c r="F2" s="38"/>
      <c r="G2" s="92" t="s">
        <v>1</v>
      </c>
      <c r="H2" s="7" t="s">
        <v>2</v>
      </c>
      <c r="I2" s="8" t="s">
        <v>3</v>
      </c>
      <c r="J2" s="9" t="s">
        <v>4</v>
      </c>
      <c r="K2" s="46" t="s">
        <v>5</v>
      </c>
      <c r="L2" s="79" t="s">
        <v>6</v>
      </c>
      <c r="M2" s="94" t="s">
        <v>7</v>
      </c>
      <c r="N2" s="78" t="s">
        <v>8</v>
      </c>
    </row>
    <row r="3" spans="1:14" s="39" customFormat="1" ht="41.45" customHeight="1">
      <c r="A3" s="80"/>
      <c r="B3" s="80"/>
      <c r="C3" s="80"/>
      <c r="D3" s="80"/>
      <c r="E3" s="81"/>
      <c r="F3" s="20" t="s">
        <v>9</v>
      </c>
      <c r="G3" s="93"/>
      <c r="H3" s="10">
        <v>2.5999999999999999E-2</v>
      </c>
      <c r="I3" s="31">
        <v>2.8000000000000001E-2</v>
      </c>
      <c r="J3" s="11">
        <v>0.03</v>
      </c>
      <c r="K3" s="47">
        <v>3.2000000000000001E-2</v>
      </c>
      <c r="L3" s="79"/>
      <c r="M3" s="94"/>
      <c r="N3" s="78"/>
    </row>
    <row r="4" spans="1:14" ht="41.45" customHeight="1">
      <c r="A4" s="85" t="s">
        <v>10</v>
      </c>
      <c r="B4" s="95" t="s">
        <v>11</v>
      </c>
      <c r="C4" s="40"/>
      <c r="D4" s="41">
        <v>1</v>
      </c>
      <c r="E4" s="26" t="s">
        <v>12</v>
      </c>
      <c r="F4" s="30" t="s">
        <v>13</v>
      </c>
      <c r="G4" s="14"/>
      <c r="H4" s="32">
        <v>2500</v>
      </c>
      <c r="I4" s="33"/>
      <c r="J4" s="25"/>
      <c r="K4" s="48"/>
      <c r="L4" s="16" t="s">
        <v>14</v>
      </c>
      <c r="M4" s="51"/>
      <c r="N4" s="21" t="s">
        <v>15</v>
      </c>
    </row>
    <row r="5" spans="1:14" ht="41.45" customHeight="1">
      <c r="A5" s="86"/>
      <c r="B5" s="95"/>
      <c r="C5" s="40"/>
      <c r="D5" s="41">
        <v>2</v>
      </c>
      <c r="E5" s="26" t="s">
        <v>16</v>
      </c>
      <c r="F5" s="30" t="s">
        <v>17</v>
      </c>
      <c r="G5" s="14"/>
      <c r="H5" s="32">
        <v>2000</v>
      </c>
      <c r="I5" s="33"/>
      <c r="J5" s="25"/>
      <c r="K5" s="48"/>
      <c r="L5" s="16" t="s">
        <v>14</v>
      </c>
      <c r="M5" s="51"/>
      <c r="N5" s="21" t="s">
        <v>15</v>
      </c>
    </row>
    <row r="6" spans="1:14" ht="41.45" customHeight="1">
      <c r="A6" s="86"/>
      <c r="B6" s="95"/>
      <c r="C6" s="40"/>
      <c r="D6" s="41">
        <v>3</v>
      </c>
      <c r="E6" s="26" t="s">
        <v>18</v>
      </c>
      <c r="F6" s="30" t="s">
        <v>13</v>
      </c>
      <c r="G6" s="14"/>
      <c r="H6" s="32">
        <v>2500</v>
      </c>
      <c r="I6" s="33"/>
      <c r="J6" s="24"/>
      <c r="K6" s="49"/>
      <c r="L6" s="16" t="s">
        <v>14</v>
      </c>
      <c r="M6" s="46"/>
      <c r="N6" s="21" t="s">
        <v>15</v>
      </c>
    </row>
    <row r="7" spans="1:14" ht="41.45" customHeight="1">
      <c r="A7" s="86"/>
      <c r="B7" s="95"/>
      <c r="C7" s="40"/>
      <c r="D7" s="41">
        <v>4</v>
      </c>
      <c r="E7" s="26" t="s">
        <v>19</v>
      </c>
      <c r="F7" s="30" t="s">
        <v>17</v>
      </c>
      <c r="G7" s="14"/>
      <c r="H7" s="32">
        <v>2000</v>
      </c>
      <c r="I7" s="33"/>
      <c r="J7" s="24"/>
      <c r="K7" s="49"/>
      <c r="L7" s="16" t="s">
        <v>14</v>
      </c>
      <c r="M7" s="46"/>
      <c r="N7" s="21" t="s">
        <v>15</v>
      </c>
    </row>
    <row r="8" spans="1:14" ht="41.45" customHeight="1">
      <c r="A8" s="86"/>
      <c r="B8" s="95"/>
      <c r="C8" s="40"/>
      <c r="D8" s="41">
        <v>5</v>
      </c>
      <c r="E8" s="26" t="s">
        <v>20</v>
      </c>
      <c r="F8" s="30" t="s">
        <v>13</v>
      </c>
      <c r="G8" s="14"/>
      <c r="H8" s="32">
        <v>2500</v>
      </c>
      <c r="I8" s="33"/>
      <c r="J8" s="24"/>
      <c r="K8" s="49"/>
      <c r="L8" s="16" t="s">
        <v>14</v>
      </c>
      <c r="M8" s="46"/>
      <c r="N8" s="21" t="s">
        <v>15</v>
      </c>
    </row>
    <row r="9" spans="1:14" ht="43.5" customHeight="1">
      <c r="A9" s="86"/>
      <c r="B9" s="95" t="s">
        <v>21</v>
      </c>
      <c r="C9" s="40"/>
      <c r="D9" s="41">
        <v>9</v>
      </c>
      <c r="E9" s="26" t="s">
        <v>22</v>
      </c>
      <c r="F9" s="30" t="s">
        <v>23</v>
      </c>
      <c r="G9" s="14"/>
      <c r="H9" s="32">
        <v>1500</v>
      </c>
      <c r="I9" s="34"/>
      <c r="J9" s="24"/>
      <c r="K9" s="49"/>
      <c r="L9" s="16" t="s">
        <v>14</v>
      </c>
      <c r="M9" s="52"/>
      <c r="N9" s="21" t="s">
        <v>15</v>
      </c>
    </row>
    <row r="10" spans="1:14" ht="41.25" customHeight="1">
      <c r="A10" s="87"/>
      <c r="B10" s="95"/>
      <c r="C10" s="40"/>
      <c r="D10" s="41">
        <v>10</v>
      </c>
      <c r="E10" s="26" t="s">
        <v>24</v>
      </c>
      <c r="F10" s="30" t="s">
        <v>23</v>
      </c>
      <c r="G10" s="14"/>
      <c r="H10" s="32">
        <v>2500</v>
      </c>
      <c r="I10" s="34"/>
      <c r="J10" s="24"/>
      <c r="K10" s="49"/>
      <c r="L10" s="16" t="s">
        <v>14</v>
      </c>
      <c r="M10" s="52"/>
      <c r="N10" s="21" t="s">
        <v>15</v>
      </c>
    </row>
    <row r="11" spans="1:14" ht="70.5" customHeight="1">
      <c r="A11" s="83" t="s">
        <v>25</v>
      </c>
      <c r="B11" s="88" t="s">
        <v>26</v>
      </c>
      <c r="C11" s="42"/>
      <c r="D11" s="41">
        <v>13</v>
      </c>
      <c r="E11" s="26" t="s">
        <v>27</v>
      </c>
      <c r="F11" s="30" t="s">
        <v>28</v>
      </c>
      <c r="G11" s="13">
        <v>58.19</v>
      </c>
      <c r="H11" s="32">
        <f>ROUND(G11/$H$3,-1)</f>
        <v>2240</v>
      </c>
      <c r="I11" s="35"/>
      <c r="J11" s="36"/>
      <c r="K11" s="50"/>
      <c r="L11" s="16"/>
      <c r="M11" s="53"/>
      <c r="N11" s="21" t="s">
        <v>15</v>
      </c>
    </row>
    <row r="12" spans="1:14" ht="53.1" customHeight="1">
      <c r="A12" s="84"/>
      <c r="B12" s="89"/>
      <c r="C12" s="40"/>
      <c r="D12" s="41">
        <v>14</v>
      </c>
      <c r="E12" s="26" t="s">
        <v>29</v>
      </c>
      <c r="F12" s="30" t="s">
        <v>30</v>
      </c>
      <c r="G12" s="14">
        <v>12.1</v>
      </c>
      <c r="H12" s="32">
        <f t="shared" ref="H12:H21" si="0">ROUND(G12/$H$3,-1)</f>
        <v>470</v>
      </c>
      <c r="I12" s="34"/>
      <c r="J12" s="24"/>
      <c r="K12" s="49"/>
      <c r="L12" s="16"/>
      <c r="M12" s="54"/>
      <c r="N12" s="21" t="s">
        <v>15</v>
      </c>
    </row>
    <row r="13" spans="1:14" ht="53.1" customHeight="1">
      <c r="A13" s="84"/>
      <c r="B13" s="89"/>
      <c r="C13" s="40"/>
      <c r="D13" s="41">
        <v>15</v>
      </c>
      <c r="E13" s="26" t="s">
        <v>31</v>
      </c>
      <c r="F13" s="30" t="s">
        <v>30</v>
      </c>
      <c r="G13" s="14">
        <v>60.5</v>
      </c>
      <c r="H13" s="32">
        <f t="shared" si="0"/>
        <v>2330</v>
      </c>
      <c r="I13" s="34"/>
      <c r="J13" s="24"/>
      <c r="K13" s="49"/>
      <c r="L13" s="16"/>
      <c r="M13" s="54"/>
      <c r="N13" s="21" t="s">
        <v>15</v>
      </c>
    </row>
    <row r="14" spans="1:14" ht="53.1" customHeight="1">
      <c r="A14" s="84"/>
      <c r="B14" s="89"/>
      <c r="C14" s="40"/>
      <c r="D14" s="41">
        <v>16</v>
      </c>
      <c r="E14" s="26" t="s">
        <v>32</v>
      </c>
      <c r="F14" s="30" t="s">
        <v>33</v>
      </c>
      <c r="G14" s="14">
        <v>12.1</v>
      </c>
      <c r="H14" s="32">
        <f t="shared" si="0"/>
        <v>470</v>
      </c>
      <c r="I14" s="34"/>
      <c r="J14" s="24"/>
      <c r="K14" s="49"/>
      <c r="L14" s="16"/>
      <c r="M14" s="54"/>
      <c r="N14" s="21" t="s">
        <v>15</v>
      </c>
    </row>
    <row r="15" spans="1:14" ht="53.1" customHeight="1">
      <c r="A15" s="84"/>
      <c r="B15" s="89"/>
      <c r="C15" s="40"/>
      <c r="D15" s="41">
        <v>17</v>
      </c>
      <c r="E15" s="26" t="s">
        <v>34</v>
      </c>
      <c r="F15" s="30" t="s">
        <v>33</v>
      </c>
      <c r="G15" s="14">
        <v>60.5</v>
      </c>
      <c r="H15" s="32">
        <f t="shared" si="0"/>
        <v>2330</v>
      </c>
      <c r="I15" s="34"/>
      <c r="J15" s="24"/>
      <c r="K15" s="49"/>
      <c r="L15" s="16"/>
      <c r="M15" s="54"/>
      <c r="N15" s="21" t="s">
        <v>15</v>
      </c>
    </row>
    <row r="16" spans="1:14" ht="53.1" customHeight="1">
      <c r="A16" s="84"/>
      <c r="B16" s="89"/>
      <c r="C16" s="40"/>
      <c r="D16" s="41">
        <v>18</v>
      </c>
      <c r="E16" s="26" t="s">
        <v>35</v>
      </c>
      <c r="F16" s="30" t="s">
        <v>36</v>
      </c>
      <c r="G16" s="14">
        <v>16.5</v>
      </c>
      <c r="H16" s="32">
        <f t="shared" si="0"/>
        <v>630</v>
      </c>
      <c r="I16" s="34"/>
      <c r="J16" s="24"/>
      <c r="K16" s="49"/>
      <c r="L16" s="16"/>
      <c r="M16" s="54"/>
      <c r="N16" s="21" t="s">
        <v>15</v>
      </c>
    </row>
    <row r="17" spans="1:14" ht="53.1" customHeight="1">
      <c r="A17" s="84"/>
      <c r="B17" s="89"/>
      <c r="C17" s="40"/>
      <c r="D17" s="41">
        <v>19</v>
      </c>
      <c r="E17" s="26" t="s">
        <v>37</v>
      </c>
      <c r="F17" s="30" t="s">
        <v>36</v>
      </c>
      <c r="G17" s="14">
        <v>27.5</v>
      </c>
      <c r="H17" s="32">
        <f t="shared" si="0"/>
        <v>1060</v>
      </c>
      <c r="I17" s="34"/>
      <c r="J17" s="24"/>
      <c r="K17" s="49"/>
      <c r="L17" s="16"/>
      <c r="M17" s="54"/>
      <c r="N17" s="21" t="s">
        <v>15</v>
      </c>
    </row>
    <row r="18" spans="1:14" ht="53.1" customHeight="1">
      <c r="A18" s="84"/>
      <c r="B18" s="89"/>
      <c r="C18" s="40"/>
      <c r="D18" s="41">
        <v>20</v>
      </c>
      <c r="E18" s="26" t="s">
        <v>38</v>
      </c>
      <c r="F18" s="30" t="s">
        <v>39</v>
      </c>
      <c r="G18" s="14">
        <v>22</v>
      </c>
      <c r="H18" s="32">
        <f t="shared" si="0"/>
        <v>850</v>
      </c>
      <c r="I18" s="34"/>
      <c r="J18" s="24"/>
      <c r="K18" s="49"/>
      <c r="L18" s="16"/>
      <c r="M18" s="54"/>
      <c r="N18" s="21" t="s">
        <v>15</v>
      </c>
    </row>
    <row r="19" spans="1:14" ht="53.1" customHeight="1">
      <c r="A19" s="84"/>
      <c r="B19" s="89"/>
      <c r="C19" s="40"/>
      <c r="D19" s="41">
        <v>21</v>
      </c>
      <c r="E19" s="26" t="s">
        <v>40</v>
      </c>
      <c r="F19" s="30" t="s">
        <v>39</v>
      </c>
      <c r="G19" s="14">
        <v>55</v>
      </c>
      <c r="H19" s="32">
        <f t="shared" si="0"/>
        <v>2120</v>
      </c>
      <c r="I19" s="34"/>
      <c r="J19" s="24"/>
      <c r="K19" s="49"/>
      <c r="L19" s="16"/>
      <c r="M19" s="54"/>
      <c r="N19" s="21" t="s">
        <v>15</v>
      </c>
    </row>
    <row r="20" spans="1:14" ht="53.25" customHeight="1">
      <c r="A20" s="84"/>
      <c r="B20" s="89"/>
      <c r="C20" s="42"/>
      <c r="D20" s="41">
        <v>22</v>
      </c>
      <c r="E20" s="26" t="s">
        <v>41</v>
      </c>
      <c r="F20" s="30" t="s">
        <v>42</v>
      </c>
      <c r="G20" s="14">
        <v>11</v>
      </c>
      <c r="H20" s="32">
        <f t="shared" si="0"/>
        <v>420</v>
      </c>
      <c r="I20" s="34"/>
      <c r="J20" s="24"/>
      <c r="K20" s="49"/>
      <c r="L20" s="16"/>
      <c r="M20" s="54"/>
      <c r="N20" s="21" t="s">
        <v>15</v>
      </c>
    </row>
    <row r="21" spans="1:14" ht="58.5" customHeight="1">
      <c r="A21" s="84"/>
      <c r="B21" s="89"/>
      <c r="C21" s="42"/>
      <c r="D21" s="41">
        <v>23</v>
      </c>
      <c r="E21" s="26" t="s">
        <v>43</v>
      </c>
      <c r="F21" s="30" t="s">
        <v>42</v>
      </c>
      <c r="G21" s="14">
        <v>55</v>
      </c>
      <c r="H21" s="32">
        <f t="shared" si="0"/>
        <v>2120</v>
      </c>
      <c r="I21" s="34"/>
      <c r="J21" s="24"/>
      <c r="K21" s="49"/>
      <c r="L21" s="17"/>
      <c r="M21" s="54"/>
      <c r="N21" s="21" t="s">
        <v>15</v>
      </c>
    </row>
    <row r="22" spans="1:14" ht="70.5" customHeight="1">
      <c r="A22" s="84"/>
      <c r="B22" s="89"/>
      <c r="C22" s="42"/>
      <c r="D22" s="41">
        <v>24</v>
      </c>
      <c r="E22" s="26" t="s">
        <v>44</v>
      </c>
      <c r="F22" s="30" t="s">
        <v>45</v>
      </c>
      <c r="G22" s="14">
        <v>220</v>
      </c>
      <c r="H22" s="32"/>
      <c r="I22" s="34"/>
      <c r="J22" s="24">
        <f>ROUND(G22/$J$3,-1)</f>
        <v>7330</v>
      </c>
      <c r="K22" s="49">
        <f t="shared" ref="K22" si="1">ROUND(G22/$K$3,-1)</f>
        <v>6880</v>
      </c>
      <c r="L22" s="16"/>
      <c r="M22" s="54" t="s">
        <v>46</v>
      </c>
      <c r="N22" s="21" t="s">
        <v>15</v>
      </c>
    </row>
    <row r="23" spans="1:14" ht="70.5" customHeight="1">
      <c r="A23" s="84"/>
      <c r="B23" s="89"/>
      <c r="C23" s="42"/>
      <c r="D23" s="41">
        <v>25</v>
      </c>
      <c r="E23" s="26" t="s">
        <v>47</v>
      </c>
      <c r="F23" s="30" t="s">
        <v>48</v>
      </c>
      <c r="G23" s="14">
        <v>550</v>
      </c>
      <c r="H23" s="32"/>
      <c r="I23" s="34"/>
      <c r="J23" s="24">
        <f>ROUND(G23/$J$3,-1)</f>
        <v>18330</v>
      </c>
      <c r="K23" s="49">
        <f>ROUND(G23/$K$3,-1)</f>
        <v>17190</v>
      </c>
      <c r="L23" s="16"/>
      <c r="M23" s="54" t="s">
        <v>46</v>
      </c>
      <c r="N23" s="21" t="s">
        <v>15</v>
      </c>
    </row>
    <row r="24" spans="1:14" ht="41.45" customHeight="1">
      <c r="A24" s="77" t="s">
        <v>49</v>
      </c>
      <c r="B24" s="75"/>
      <c r="C24" s="59"/>
      <c r="D24" s="41">
        <v>12</v>
      </c>
      <c r="E24" s="26" t="s">
        <v>50</v>
      </c>
      <c r="F24" s="30" t="s">
        <v>51</v>
      </c>
      <c r="G24" s="14">
        <v>8.1999999999999993</v>
      </c>
      <c r="H24" s="32">
        <f>ROUND(G24/$H$3,-1)+500</f>
        <v>820</v>
      </c>
      <c r="I24" s="34"/>
      <c r="J24" s="24"/>
      <c r="K24" s="49"/>
      <c r="L24" s="16"/>
      <c r="M24" s="52"/>
      <c r="N24" s="21" t="s">
        <v>15</v>
      </c>
    </row>
    <row r="25" spans="1:14" ht="64.349999999999994" customHeight="1">
      <c r="A25" s="77"/>
      <c r="B25" s="75"/>
      <c r="C25" s="60"/>
      <c r="D25" s="41">
        <v>35</v>
      </c>
      <c r="E25" s="26" t="s">
        <v>52</v>
      </c>
      <c r="F25" s="30" t="s">
        <v>53</v>
      </c>
      <c r="G25" s="14"/>
      <c r="H25" s="32">
        <v>250</v>
      </c>
      <c r="I25" s="34"/>
      <c r="J25" s="24"/>
      <c r="K25" s="49"/>
      <c r="L25" s="16"/>
      <c r="M25" s="54"/>
      <c r="N25" s="21" t="s">
        <v>15</v>
      </c>
    </row>
    <row r="26" spans="1:14" ht="41.45" customHeight="1">
      <c r="A26" s="77"/>
      <c r="B26" s="75"/>
      <c r="C26" s="59"/>
      <c r="D26" s="41">
        <v>37</v>
      </c>
      <c r="E26" s="26" t="s">
        <v>54</v>
      </c>
      <c r="F26" s="30" t="s">
        <v>55</v>
      </c>
      <c r="G26" s="14"/>
      <c r="H26" s="32">
        <v>165</v>
      </c>
      <c r="I26" s="34"/>
      <c r="J26" s="24"/>
      <c r="K26" s="49"/>
      <c r="L26" s="16"/>
      <c r="M26" s="52"/>
      <c r="N26" s="21" t="s">
        <v>15</v>
      </c>
    </row>
    <row r="27" spans="1:14" ht="53.25" customHeight="1">
      <c r="A27" s="77"/>
      <c r="B27" s="75" t="s">
        <v>56</v>
      </c>
      <c r="C27" s="60"/>
      <c r="D27" s="41">
        <v>38</v>
      </c>
      <c r="E27" s="26" t="s">
        <v>57</v>
      </c>
      <c r="F27" s="30" t="s">
        <v>58</v>
      </c>
      <c r="G27" s="15">
        <v>25.891499999999997</v>
      </c>
      <c r="H27" s="32">
        <f>ROUND(G27/$H$3,-1)</f>
        <v>1000</v>
      </c>
      <c r="I27" s="34"/>
      <c r="J27" s="24"/>
      <c r="K27" s="49"/>
      <c r="L27" s="18"/>
      <c r="M27" s="54"/>
      <c r="N27" s="21" t="s">
        <v>15</v>
      </c>
    </row>
    <row r="28" spans="1:14" ht="53.25" customHeight="1">
      <c r="A28" s="77"/>
      <c r="B28" s="75"/>
      <c r="C28" s="60"/>
      <c r="D28" s="41">
        <v>40</v>
      </c>
      <c r="E28" s="26" t="s">
        <v>59</v>
      </c>
      <c r="F28" s="30" t="s">
        <v>60</v>
      </c>
      <c r="G28" s="14">
        <v>40.171800000000005</v>
      </c>
      <c r="H28" s="32">
        <f>ROUND(G28/$H$3,-1)</f>
        <v>1550</v>
      </c>
      <c r="I28" s="34"/>
      <c r="J28" s="24"/>
      <c r="K28" s="49"/>
      <c r="L28" s="16"/>
      <c r="M28" s="54"/>
      <c r="N28" s="21" t="s">
        <v>15</v>
      </c>
    </row>
    <row r="29" spans="1:14" ht="67.5" customHeight="1">
      <c r="A29" s="77"/>
      <c r="B29" s="75"/>
      <c r="C29" s="60"/>
      <c r="D29" s="41">
        <v>42</v>
      </c>
      <c r="E29" s="26" t="s">
        <v>61</v>
      </c>
      <c r="F29" s="30" t="s">
        <v>62</v>
      </c>
      <c r="G29" s="14">
        <v>33.825000000000003</v>
      </c>
      <c r="H29" s="32">
        <f>ROUND(G29/$H$3,-1)</f>
        <v>1300</v>
      </c>
      <c r="I29" s="34"/>
      <c r="J29" s="24"/>
      <c r="K29" s="49"/>
      <c r="L29" s="16"/>
      <c r="M29" s="54"/>
      <c r="N29" s="21" t="s">
        <v>15</v>
      </c>
    </row>
    <row r="30" spans="1:14" ht="61.5" customHeight="1">
      <c r="A30" s="77"/>
      <c r="B30" s="76" t="s">
        <v>63</v>
      </c>
      <c r="C30" s="59"/>
      <c r="D30" s="41">
        <v>36</v>
      </c>
      <c r="E30" s="26" t="s">
        <v>64</v>
      </c>
      <c r="F30" s="30" t="s">
        <v>65</v>
      </c>
      <c r="G30" s="14">
        <v>56.211000000000006</v>
      </c>
      <c r="H30" s="32">
        <f t="shared" ref="H30" si="2">ROUND(G30/$H$3,-1)</f>
        <v>2160</v>
      </c>
      <c r="I30" s="34">
        <f t="shared" ref="I30:I35" si="3">ROUND(G30/$I$3,-1)</f>
        <v>2010</v>
      </c>
      <c r="J30" s="24">
        <f t="shared" ref="J30:J36" si="4">ROUND(G30/$J$3,-1)</f>
        <v>1870</v>
      </c>
      <c r="K30" s="49">
        <f>ROUND(G30/$K$3,-1)</f>
        <v>1760</v>
      </c>
      <c r="L30" s="16"/>
      <c r="M30" s="52"/>
      <c r="N30" s="21" t="s">
        <v>15</v>
      </c>
    </row>
    <row r="31" spans="1:14" ht="53.25" customHeight="1">
      <c r="A31" s="77"/>
      <c r="B31" s="76"/>
      <c r="C31" s="60"/>
      <c r="D31" s="41">
        <v>39</v>
      </c>
      <c r="E31" s="26" t="s">
        <v>66</v>
      </c>
      <c r="F31" s="30" t="s">
        <v>67</v>
      </c>
      <c r="G31" s="14">
        <v>30.811499999999999</v>
      </c>
      <c r="H31" s="32">
        <f>ROUND(G31/$H$3,-1)</f>
        <v>1190</v>
      </c>
      <c r="I31" s="34">
        <f t="shared" si="3"/>
        <v>1100</v>
      </c>
      <c r="J31" s="24">
        <f t="shared" si="4"/>
        <v>1030</v>
      </c>
      <c r="K31" s="49">
        <f>ROUND(G31/$K$3,-1)</f>
        <v>960</v>
      </c>
      <c r="L31" s="16"/>
      <c r="M31" s="54"/>
      <c r="N31" s="21" t="s">
        <v>15</v>
      </c>
    </row>
    <row r="32" spans="1:14" ht="67.5" customHeight="1">
      <c r="A32" s="77"/>
      <c r="B32" s="76"/>
      <c r="C32" s="60"/>
      <c r="D32" s="41">
        <v>41</v>
      </c>
      <c r="E32" s="26" t="s">
        <v>68</v>
      </c>
      <c r="F32" s="30" t="s">
        <v>69</v>
      </c>
      <c r="G32" s="14">
        <v>46.74</v>
      </c>
      <c r="H32" s="32">
        <f>ROUND(G32/$H$3,-1)</f>
        <v>1800</v>
      </c>
      <c r="I32" s="34">
        <f t="shared" si="3"/>
        <v>1670</v>
      </c>
      <c r="J32" s="24">
        <f t="shared" si="4"/>
        <v>1560</v>
      </c>
      <c r="K32" s="49">
        <f>ROUND(G32/$K$3,-1)</f>
        <v>1460</v>
      </c>
      <c r="L32" s="16"/>
      <c r="M32" s="54"/>
      <c r="N32" s="21" t="s">
        <v>15</v>
      </c>
    </row>
    <row r="33" spans="1:14" ht="67.5" customHeight="1">
      <c r="A33" s="77"/>
      <c r="B33" s="76"/>
      <c r="C33" s="60"/>
      <c r="D33" s="41">
        <v>43</v>
      </c>
      <c r="E33" s="26" t="s">
        <v>70</v>
      </c>
      <c r="F33" s="30" t="s">
        <v>69</v>
      </c>
      <c r="G33" s="14">
        <v>40.282499999999999</v>
      </c>
      <c r="H33" s="32">
        <f>ROUND(G33/$H$3,-1)</f>
        <v>1550</v>
      </c>
      <c r="I33" s="34">
        <f t="shared" si="3"/>
        <v>1440</v>
      </c>
      <c r="J33" s="24">
        <f t="shared" si="4"/>
        <v>1340</v>
      </c>
      <c r="K33" s="49">
        <f>ROUND(G33/$K$3,-1)</f>
        <v>1260</v>
      </c>
      <c r="L33" s="16"/>
      <c r="M33" s="54"/>
      <c r="N33" s="21" t="s">
        <v>15</v>
      </c>
    </row>
    <row r="34" spans="1:14" ht="41.45" customHeight="1">
      <c r="A34" s="77"/>
      <c r="B34" s="77" t="s">
        <v>49</v>
      </c>
      <c r="C34" s="59"/>
      <c r="D34" s="41">
        <v>6</v>
      </c>
      <c r="E34" s="26" t="s">
        <v>71</v>
      </c>
      <c r="F34" s="30" t="s">
        <v>72</v>
      </c>
      <c r="G34" s="14">
        <v>548.24</v>
      </c>
      <c r="H34" s="32">
        <f>ROUND(G34/$H$3,-1)</f>
        <v>21090</v>
      </c>
      <c r="I34" s="34">
        <f t="shared" si="3"/>
        <v>19580</v>
      </c>
      <c r="J34" s="24">
        <f t="shared" si="4"/>
        <v>18270</v>
      </c>
      <c r="K34" s="49">
        <f t="shared" ref="K34:K35" si="5">ROUND(G34/$K$3,-1)</f>
        <v>17130</v>
      </c>
      <c r="L34" s="16" t="s">
        <v>14</v>
      </c>
      <c r="M34" s="46"/>
      <c r="N34" s="21" t="s">
        <v>15</v>
      </c>
    </row>
    <row r="35" spans="1:14" ht="41.45" customHeight="1">
      <c r="A35" s="77"/>
      <c r="B35" s="77"/>
      <c r="C35" s="59"/>
      <c r="D35" s="41">
        <v>7</v>
      </c>
      <c r="E35" s="26" t="s">
        <v>73</v>
      </c>
      <c r="F35" s="30" t="s">
        <v>74</v>
      </c>
      <c r="G35" s="14">
        <v>301.8</v>
      </c>
      <c r="H35" s="32">
        <f>ROUND(G35/$H$3,-1)</f>
        <v>11610</v>
      </c>
      <c r="I35" s="34">
        <f t="shared" si="3"/>
        <v>10780</v>
      </c>
      <c r="J35" s="24">
        <f t="shared" si="4"/>
        <v>10060</v>
      </c>
      <c r="K35" s="49">
        <f t="shared" si="5"/>
        <v>9430</v>
      </c>
      <c r="L35" s="16" t="s">
        <v>14</v>
      </c>
      <c r="M35" s="54"/>
      <c r="N35" s="21" t="s">
        <v>15</v>
      </c>
    </row>
    <row r="36" spans="1:14" ht="41.45" customHeight="1">
      <c r="A36" s="77"/>
      <c r="B36" s="77"/>
      <c r="C36" s="59"/>
      <c r="D36" s="41">
        <v>8</v>
      </c>
      <c r="E36" s="26" t="s">
        <v>75</v>
      </c>
      <c r="F36" s="30" t="s">
        <v>76</v>
      </c>
      <c r="G36" s="14">
        <v>1173.75</v>
      </c>
      <c r="H36" s="32"/>
      <c r="I36" s="33"/>
      <c r="J36" s="24">
        <f t="shared" si="4"/>
        <v>39130</v>
      </c>
      <c r="K36" s="49">
        <f t="shared" ref="K36" si="6">ROUND(G36/$K$3,-1)</f>
        <v>36680</v>
      </c>
      <c r="L36" s="16" t="s">
        <v>14</v>
      </c>
      <c r="M36" s="54" t="s">
        <v>46</v>
      </c>
      <c r="N36" s="21" t="s">
        <v>15</v>
      </c>
    </row>
    <row r="37" spans="1:14" ht="41.45" customHeight="1">
      <c r="A37" s="77"/>
      <c r="B37" s="77"/>
      <c r="C37" s="59"/>
      <c r="D37" s="41"/>
      <c r="E37" s="61" t="s">
        <v>77</v>
      </c>
      <c r="F37" s="62" t="s">
        <v>76</v>
      </c>
      <c r="G37" s="14">
        <v>1443.71</v>
      </c>
      <c r="H37" s="32"/>
      <c r="I37" s="33"/>
      <c r="J37" s="24">
        <f t="shared" ref="J37" si="7">ROUND(G37/$J$3,-1)</f>
        <v>48120</v>
      </c>
      <c r="K37" s="49">
        <f t="shared" ref="K37" si="8">ROUND(G37/$K$3,-1)</f>
        <v>45120</v>
      </c>
      <c r="L37" s="16"/>
      <c r="M37" s="54"/>
      <c r="N37" s="21"/>
    </row>
    <row r="38" spans="1:14" ht="46.5" customHeight="1">
      <c r="A38" s="77"/>
      <c r="B38" s="77"/>
      <c r="C38" s="60"/>
      <c r="D38" s="41">
        <v>11</v>
      </c>
      <c r="E38" s="26" t="s">
        <v>78</v>
      </c>
      <c r="F38" s="30" t="s">
        <v>79</v>
      </c>
      <c r="G38" s="14">
        <f>3.636*1.1</f>
        <v>3.9996000000000005</v>
      </c>
      <c r="H38" s="32">
        <f>ROUND(G38/$H$3,-1)+500</f>
        <v>650</v>
      </c>
      <c r="I38" s="34"/>
      <c r="J38" s="24"/>
      <c r="K38" s="49"/>
      <c r="L38" s="16"/>
      <c r="M38" s="54"/>
      <c r="N38" s="21" t="s">
        <v>15</v>
      </c>
    </row>
    <row r="39" spans="1:14" ht="53.25" customHeight="1">
      <c r="A39" s="77"/>
      <c r="B39" s="77"/>
      <c r="C39" s="60"/>
      <c r="D39" s="41">
        <v>26</v>
      </c>
      <c r="E39" s="26" t="s">
        <v>80</v>
      </c>
      <c r="F39" s="30" t="s">
        <v>81</v>
      </c>
      <c r="G39" s="14">
        <v>358.84000000000003</v>
      </c>
      <c r="H39" s="32">
        <f t="shared" ref="H39:H71" si="9">ROUND(G39/$H$3,-1)</f>
        <v>13800</v>
      </c>
      <c r="I39" s="34">
        <f>ROUND(G39/$I$3,-1)</f>
        <v>12820</v>
      </c>
      <c r="J39" s="24">
        <f>ROUND(G39/$J$3,-1)</f>
        <v>11960</v>
      </c>
      <c r="K39" s="49">
        <f>ROUND(G39/$K$3,-1)</f>
        <v>11210</v>
      </c>
      <c r="L39" s="16"/>
      <c r="M39" s="54"/>
      <c r="N39" s="21" t="s">
        <v>15</v>
      </c>
    </row>
    <row r="40" spans="1:14" ht="53.25" customHeight="1">
      <c r="A40" s="77"/>
      <c r="B40" s="77"/>
      <c r="C40" s="60"/>
      <c r="D40" s="41">
        <v>27</v>
      </c>
      <c r="E40" s="26" t="s">
        <v>82</v>
      </c>
      <c r="F40" s="30" t="s">
        <v>83</v>
      </c>
      <c r="G40" s="14">
        <v>138.84</v>
      </c>
      <c r="H40" s="32">
        <f t="shared" si="9"/>
        <v>5340</v>
      </c>
      <c r="I40" s="34"/>
      <c r="J40" s="24"/>
      <c r="K40" s="49"/>
      <c r="L40" s="16"/>
      <c r="M40" s="54"/>
      <c r="N40" s="21" t="s">
        <v>15</v>
      </c>
    </row>
    <row r="41" spans="1:14" ht="53.25" customHeight="1">
      <c r="A41" s="77"/>
      <c r="B41" s="77"/>
      <c r="C41" s="60"/>
      <c r="D41" s="41">
        <v>28</v>
      </c>
      <c r="E41" s="26" t="s">
        <v>84</v>
      </c>
      <c r="F41" s="37" t="s">
        <v>85</v>
      </c>
      <c r="G41" s="14">
        <v>101.1675</v>
      </c>
      <c r="H41" s="32">
        <f t="shared" si="9"/>
        <v>3890</v>
      </c>
      <c r="I41" s="34"/>
      <c r="J41" s="24"/>
      <c r="K41" s="49"/>
      <c r="L41" s="16"/>
      <c r="M41" s="54"/>
      <c r="N41" s="21" t="s">
        <v>15</v>
      </c>
    </row>
    <row r="42" spans="1:14" ht="53.25" customHeight="1">
      <c r="A42" s="77"/>
      <c r="B42" s="77"/>
      <c r="C42" s="60"/>
      <c r="D42" s="41">
        <v>29</v>
      </c>
      <c r="E42" s="26" t="s">
        <v>86</v>
      </c>
      <c r="F42" s="30" t="s">
        <v>87</v>
      </c>
      <c r="G42" s="14">
        <v>53.136000000000003</v>
      </c>
      <c r="H42" s="32">
        <f t="shared" si="9"/>
        <v>2040</v>
      </c>
      <c r="I42" s="34">
        <f>ROUND(G42/$I$3,-1)</f>
        <v>1900</v>
      </c>
      <c r="J42" s="24">
        <f>ROUND(G42/$J$3,-1)</f>
        <v>1770</v>
      </c>
      <c r="K42" s="49">
        <f>ROUND(G42/$K$3,-1)</f>
        <v>1660</v>
      </c>
      <c r="L42" s="16"/>
      <c r="M42" s="54"/>
      <c r="N42" s="21" t="s">
        <v>15</v>
      </c>
    </row>
    <row r="43" spans="1:14" ht="53.25" customHeight="1">
      <c r="A43" s="77"/>
      <c r="B43" s="77"/>
      <c r="C43" s="60"/>
      <c r="D43" s="41">
        <v>30</v>
      </c>
      <c r="E43" s="26" t="s">
        <v>88</v>
      </c>
      <c r="F43" s="30" t="s">
        <v>89</v>
      </c>
      <c r="G43" s="14">
        <v>52.459499999999998</v>
      </c>
      <c r="H43" s="32">
        <f t="shared" si="9"/>
        <v>2020</v>
      </c>
      <c r="I43" s="34"/>
      <c r="J43" s="24"/>
      <c r="K43" s="49"/>
      <c r="L43" s="16"/>
      <c r="M43" s="54"/>
      <c r="N43" s="21"/>
    </row>
    <row r="44" spans="1:14" ht="53.25" customHeight="1">
      <c r="A44" s="77"/>
      <c r="B44" s="77"/>
      <c r="C44" s="60"/>
      <c r="D44" s="41">
        <v>31</v>
      </c>
      <c r="E44" s="26" t="s">
        <v>90</v>
      </c>
      <c r="F44" s="30" t="s">
        <v>91</v>
      </c>
      <c r="G44" s="14">
        <v>147.846</v>
      </c>
      <c r="H44" s="32">
        <f t="shared" si="9"/>
        <v>5690</v>
      </c>
      <c r="I44" s="34">
        <f>ROUND(G44/$I$3,-1)</f>
        <v>5280</v>
      </c>
      <c r="J44" s="24">
        <f>ROUND(G44/$J$3,-1)</f>
        <v>4930</v>
      </c>
      <c r="K44" s="49">
        <f>ROUND(G44/$K$3,-1)</f>
        <v>4620</v>
      </c>
      <c r="L44" s="16"/>
      <c r="M44" s="54"/>
      <c r="N44" s="21" t="s">
        <v>15</v>
      </c>
    </row>
    <row r="45" spans="1:14" ht="60.6" customHeight="1">
      <c r="A45" s="77"/>
      <c r="B45" s="77"/>
      <c r="C45" s="60"/>
      <c r="D45" s="41">
        <v>32</v>
      </c>
      <c r="E45" s="26" t="s">
        <v>92</v>
      </c>
      <c r="F45" s="30" t="s">
        <v>93</v>
      </c>
      <c r="G45" s="14">
        <v>82.766699999999986</v>
      </c>
      <c r="H45" s="32">
        <f t="shared" si="9"/>
        <v>3180</v>
      </c>
      <c r="I45" s="34"/>
      <c r="J45" s="24"/>
      <c r="K45" s="49"/>
      <c r="L45" s="16"/>
      <c r="M45" s="54"/>
      <c r="N45" s="21"/>
    </row>
    <row r="46" spans="1:14" ht="63.6" customHeight="1">
      <c r="A46" s="77"/>
      <c r="B46" s="77"/>
      <c r="C46" s="60"/>
      <c r="D46" s="41">
        <v>33</v>
      </c>
      <c r="E46" s="26" t="s">
        <v>94</v>
      </c>
      <c r="F46" s="30" t="s">
        <v>95</v>
      </c>
      <c r="G46" s="14">
        <v>55.348770000000002</v>
      </c>
      <c r="H46" s="32">
        <f t="shared" si="9"/>
        <v>2130</v>
      </c>
      <c r="I46" s="34">
        <f>ROUND(G46/$I$3,-1)</f>
        <v>1980</v>
      </c>
      <c r="J46" s="24">
        <f>ROUND(G46/$J$3,-1)</f>
        <v>1840</v>
      </c>
      <c r="K46" s="49">
        <f>ROUND(G46/$K$3,-1)</f>
        <v>1730</v>
      </c>
      <c r="L46" s="16" t="s">
        <v>96</v>
      </c>
      <c r="M46" s="54"/>
      <c r="N46" s="21" t="s">
        <v>15</v>
      </c>
    </row>
    <row r="47" spans="1:14" ht="64.349999999999994" customHeight="1">
      <c r="A47" s="77"/>
      <c r="B47" s="77"/>
      <c r="C47" s="60"/>
      <c r="D47" s="41">
        <v>34</v>
      </c>
      <c r="E47" s="26" t="s">
        <v>97</v>
      </c>
      <c r="F47" s="30" t="s">
        <v>98</v>
      </c>
      <c r="G47" s="14">
        <v>56.518500000000003</v>
      </c>
      <c r="H47" s="32">
        <f t="shared" ref="H47" si="10">ROUND(G47/$H$3,-1)</f>
        <v>2170</v>
      </c>
      <c r="I47" s="34">
        <f>ROUND(G47/$I$3,-1)</f>
        <v>2020</v>
      </c>
      <c r="J47" s="24">
        <f>ROUND(G47/$J$3,-1)</f>
        <v>1880</v>
      </c>
      <c r="K47" s="49">
        <f>ROUND(G47/$K$3,-1)</f>
        <v>1770</v>
      </c>
      <c r="L47" s="16"/>
      <c r="M47" s="54"/>
      <c r="N47" s="21" t="s">
        <v>15</v>
      </c>
    </row>
    <row r="48" spans="1:14" ht="80.099999999999994" customHeight="1">
      <c r="A48" s="55" t="s">
        <v>99</v>
      </c>
      <c r="B48" s="56"/>
      <c r="C48" s="42"/>
      <c r="D48" s="41">
        <v>44</v>
      </c>
      <c r="E48" s="26" t="s">
        <v>100</v>
      </c>
      <c r="F48" s="30" t="s">
        <v>101</v>
      </c>
      <c r="G48" s="14">
        <v>463.76</v>
      </c>
      <c r="H48" s="32">
        <f>ROUND(G48/$H$3,-2)</f>
        <v>17800</v>
      </c>
      <c r="I48" s="34">
        <f t="shared" ref="I48:I53" si="11">ROUND(G48/$I$3,-1)</f>
        <v>16560</v>
      </c>
      <c r="J48" s="24">
        <f t="shared" ref="J48:J53" si="12">ROUND(G48/$J$3,-1)</f>
        <v>15460</v>
      </c>
      <c r="K48" s="49">
        <f t="shared" ref="K48:K53" si="13">ROUND(G48/$K$3,-1)</f>
        <v>14490</v>
      </c>
      <c r="L48" s="16"/>
      <c r="M48" s="54"/>
      <c r="N48" s="21" t="s">
        <v>15</v>
      </c>
    </row>
    <row r="49" spans="1:14" ht="80.099999999999994" customHeight="1">
      <c r="A49" s="55"/>
      <c r="B49" s="56"/>
      <c r="C49" s="42"/>
      <c r="D49" s="41">
        <v>45</v>
      </c>
      <c r="E49" s="26" t="s">
        <v>102</v>
      </c>
      <c r="F49" s="30" t="s">
        <v>103</v>
      </c>
      <c r="G49" s="14">
        <v>523.76</v>
      </c>
      <c r="H49" s="32">
        <f t="shared" ref="H49:H63" si="14">ROUND(G49/$H$3,-2)</f>
        <v>20100</v>
      </c>
      <c r="I49" s="34">
        <f t="shared" si="11"/>
        <v>18710</v>
      </c>
      <c r="J49" s="24">
        <f t="shared" si="12"/>
        <v>17460</v>
      </c>
      <c r="K49" s="49">
        <f t="shared" si="13"/>
        <v>16370</v>
      </c>
      <c r="L49" s="16"/>
      <c r="M49" s="54"/>
      <c r="N49" s="21" t="s">
        <v>15</v>
      </c>
    </row>
    <row r="50" spans="1:14" ht="80.099999999999994" customHeight="1">
      <c r="A50" s="55"/>
      <c r="B50" s="56"/>
      <c r="C50" s="42" t="e" vm="1">
        <v>#VALUE!</v>
      </c>
      <c r="D50" s="41">
        <v>46</v>
      </c>
      <c r="E50" s="26" t="s">
        <v>104</v>
      </c>
      <c r="F50" s="30" t="s">
        <v>105</v>
      </c>
      <c r="G50" s="14">
        <v>110.07</v>
      </c>
      <c r="H50" s="32">
        <f t="shared" si="14"/>
        <v>4200</v>
      </c>
      <c r="I50" s="34">
        <f t="shared" si="11"/>
        <v>3930</v>
      </c>
      <c r="J50" s="24">
        <f t="shared" si="12"/>
        <v>3670</v>
      </c>
      <c r="K50" s="49">
        <f t="shared" si="13"/>
        <v>3440</v>
      </c>
      <c r="L50" s="16"/>
      <c r="M50" s="54"/>
      <c r="N50" s="21" t="s">
        <v>15</v>
      </c>
    </row>
    <row r="51" spans="1:14" ht="61.5" customHeight="1">
      <c r="A51" s="55"/>
      <c r="B51" s="56"/>
      <c r="C51" s="42"/>
      <c r="D51" s="41">
        <v>47</v>
      </c>
      <c r="E51" s="26" t="s">
        <v>106</v>
      </c>
      <c r="F51" s="30" t="s">
        <v>107</v>
      </c>
      <c r="G51" s="14">
        <v>61.060000000000009</v>
      </c>
      <c r="H51" s="32">
        <f t="shared" si="14"/>
        <v>2300</v>
      </c>
      <c r="I51" s="34">
        <f t="shared" si="11"/>
        <v>2180</v>
      </c>
      <c r="J51" s="24">
        <f t="shared" si="12"/>
        <v>2040</v>
      </c>
      <c r="K51" s="49">
        <f t="shared" si="13"/>
        <v>1910</v>
      </c>
      <c r="L51" s="16"/>
      <c r="M51" s="54"/>
      <c r="N51" s="21" t="s">
        <v>15</v>
      </c>
    </row>
    <row r="52" spans="1:14" ht="67.5" customHeight="1">
      <c r="A52" s="55"/>
      <c r="B52" s="56"/>
      <c r="C52" s="42"/>
      <c r="D52" s="41">
        <v>48</v>
      </c>
      <c r="E52" s="26" t="s">
        <v>108</v>
      </c>
      <c r="F52" s="30" t="s">
        <v>109</v>
      </c>
      <c r="G52" s="14">
        <v>239.07</v>
      </c>
      <c r="H52" s="32">
        <f t="shared" si="14"/>
        <v>9200</v>
      </c>
      <c r="I52" s="34">
        <f t="shared" si="11"/>
        <v>8540</v>
      </c>
      <c r="J52" s="24">
        <f t="shared" si="12"/>
        <v>7970</v>
      </c>
      <c r="K52" s="49">
        <f t="shared" si="13"/>
        <v>7470</v>
      </c>
      <c r="L52" s="16"/>
      <c r="M52" s="54"/>
      <c r="N52" s="21" t="s">
        <v>15</v>
      </c>
    </row>
    <row r="53" spans="1:14" ht="65.099999999999994" customHeight="1">
      <c r="A53" s="55"/>
      <c r="B53" s="56"/>
      <c r="C53" s="42"/>
      <c r="D53" s="41">
        <v>49</v>
      </c>
      <c r="E53" s="26" t="s">
        <v>110</v>
      </c>
      <c r="F53" s="30" t="s">
        <v>111</v>
      </c>
      <c r="G53" s="14">
        <v>1000.07</v>
      </c>
      <c r="H53" s="32">
        <f t="shared" si="14"/>
        <v>38500</v>
      </c>
      <c r="I53" s="34">
        <f t="shared" si="11"/>
        <v>35720</v>
      </c>
      <c r="J53" s="24">
        <f t="shared" si="12"/>
        <v>33340</v>
      </c>
      <c r="K53" s="49">
        <f t="shared" si="13"/>
        <v>31250</v>
      </c>
      <c r="L53" s="16"/>
      <c r="M53" s="54"/>
      <c r="N53" s="21" t="s">
        <v>15</v>
      </c>
    </row>
    <row r="54" spans="1:14" ht="66.95" customHeight="1">
      <c r="A54" s="55"/>
      <c r="B54" s="56"/>
      <c r="C54" s="42"/>
      <c r="D54" s="41">
        <v>50</v>
      </c>
      <c r="E54" s="26" t="s">
        <v>112</v>
      </c>
      <c r="F54" s="30" t="s">
        <v>113</v>
      </c>
      <c r="G54" s="14">
        <v>380.06099999999998</v>
      </c>
      <c r="H54" s="32">
        <f t="shared" si="14"/>
        <v>14600</v>
      </c>
      <c r="I54" s="34"/>
      <c r="J54" s="24"/>
      <c r="K54" s="49"/>
      <c r="L54" s="16"/>
      <c r="M54" s="54"/>
      <c r="N54" s="21" t="s">
        <v>15</v>
      </c>
    </row>
    <row r="55" spans="1:14" ht="82.5" customHeight="1">
      <c r="A55" s="57"/>
      <c r="B55" s="58"/>
      <c r="C55" s="42"/>
      <c r="D55" s="41">
        <v>51</v>
      </c>
      <c r="E55" s="26" t="s">
        <v>114</v>
      </c>
      <c r="F55" s="30" t="s">
        <v>115</v>
      </c>
      <c r="G55" s="14">
        <v>47.06</v>
      </c>
      <c r="H55" s="32">
        <f t="shared" si="14"/>
        <v>1800</v>
      </c>
      <c r="I55" s="34"/>
      <c r="J55" s="24"/>
      <c r="K55" s="49"/>
      <c r="L55" s="16"/>
      <c r="M55" s="54"/>
      <c r="N55" s="21" t="s">
        <v>15</v>
      </c>
    </row>
    <row r="56" spans="1:14" ht="73.5" customHeight="1">
      <c r="A56" s="82" t="s">
        <v>116</v>
      </c>
      <c r="B56" s="82" t="s">
        <v>117</v>
      </c>
      <c r="C56" s="42"/>
      <c r="D56" s="41">
        <v>52</v>
      </c>
      <c r="E56" s="26" t="s">
        <v>118</v>
      </c>
      <c r="F56" s="30" t="s">
        <v>119</v>
      </c>
      <c r="G56" s="14">
        <v>608.84</v>
      </c>
      <c r="H56" s="32"/>
      <c r="I56" s="34"/>
      <c r="J56" s="24">
        <f t="shared" ref="J56:J57" si="15">ROUND(G56/$J$3,-1)</f>
        <v>20290</v>
      </c>
      <c r="K56" s="49">
        <f t="shared" ref="K56:K57" si="16">ROUND(G56/$K$3,-1)</f>
        <v>19030</v>
      </c>
      <c r="L56" s="16"/>
      <c r="M56" s="54" t="s">
        <v>46</v>
      </c>
      <c r="N56" s="21" t="s">
        <v>15</v>
      </c>
    </row>
    <row r="57" spans="1:14" ht="69" customHeight="1">
      <c r="A57" s="82"/>
      <c r="B57" s="82"/>
      <c r="C57" s="42"/>
      <c r="D57" s="41">
        <v>53</v>
      </c>
      <c r="E57" s="26" t="s">
        <v>120</v>
      </c>
      <c r="F57" s="30" t="s">
        <v>121</v>
      </c>
      <c r="G57" s="14">
        <v>86.063099999999991</v>
      </c>
      <c r="H57" s="32">
        <f t="shared" si="14"/>
        <v>3300</v>
      </c>
      <c r="I57" s="34">
        <f>ROUND(G57/$I$3,-1)</f>
        <v>3070</v>
      </c>
      <c r="J57" s="24">
        <f t="shared" si="15"/>
        <v>2870</v>
      </c>
      <c r="K57" s="49">
        <f t="shared" si="16"/>
        <v>2690</v>
      </c>
      <c r="L57" s="16"/>
      <c r="M57" s="54"/>
      <c r="N57" s="21" t="s">
        <v>15</v>
      </c>
    </row>
    <row r="58" spans="1:14" ht="69" customHeight="1">
      <c r="A58" s="82"/>
      <c r="B58" s="82"/>
      <c r="C58" s="27"/>
      <c r="D58" s="41">
        <v>54</v>
      </c>
      <c r="E58" s="26" t="s">
        <v>122</v>
      </c>
      <c r="F58" s="30" t="s">
        <v>123</v>
      </c>
      <c r="G58" s="14">
        <v>33.21</v>
      </c>
      <c r="H58" s="32">
        <f t="shared" si="14"/>
        <v>1300</v>
      </c>
      <c r="I58" s="34"/>
      <c r="J58" s="24"/>
      <c r="K58" s="49"/>
      <c r="L58" s="16"/>
      <c r="M58" s="54"/>
      <c r="N58" s="21" t="s">
        <v>15</v>
      </c>
    </row>
    <row r="59" spans="1:14" ht="73.5" customHeight="1">
      <c r="A59" s="82"/>
      <c r="B59" s="82"/>
      <c r="C59" s="27"/>
      <c r="D59" s="41">
        <v>55</v>
      </c>
      <c r="E59" s="26" t="s">
        <v>124</v>
      </c>
      <c r="F59" s="30" t="s">
        <v>125</v>
      </c>
      <c r="G59" s="14">
        <v>57.06</v>
      </c>
      <c r="H59" s="32">
        <f t="shared" si="14"/>
        <v>2200</v>
      </c>
      <c r="I59" s="34"/>
      <c r="J59" s="24"/>
      <c r="K59" s="49"/>
      <c r="L59" s="16"/>
      <c r="M59" s="54"/>
      <c r="N59" s="21" t="s">
        <v>15</v>
      </c>
    </row>
    <row r="60" spans="1:14" ht="79.5" customHeight="1">
      <c r="A60" s="82"/>
      <c r="B60" s="82"/>
      <c r="C60" s="40"/>
      <c r="D60" s="41">
        <v>56</v>
      </c>
      <c r="E60" s="26" t="s">
        <v>126</v>
      </c>
      <c r="F60" s="30" t="s">
        <v>127</v>
      </c>
      <c r="G60" s="14">
        <v>171.05609999999999</v>
      </c>
      <c r="H60" s="32">
        <f t="shared" si="14"/>
        <v>6600</v>
      </c>
      <c r="I60" s="34">
        <f>ROUND(G60/$I$3,-1)</f>
        <v>6110</v>
      </c>
      <c r="J60" s="24">
        <f t="shared" ref="J60" si="17">ROUND(G60/$J$3,-1)</f>
        <v>5700</v>
      </c>
      <c r="K60" s="49">
        <f t="shared" ref="K60" si="18">ROUND(G60/$K$3,-1)</f>
        <v>5350</v>
      </c>
      <c r="L60" s="16"/>
      <c r="M60" s="54"/>
      <c r="N60" s="21" t="s">
        <v>15</v>
      </c>
    </row>
    <row r="61" spans="1:14" ht="73.5" customHeight="1">
      <c r="A61" s="82"/>
      <c r="B61" s="82"/>
      <c r="C61" s="42"/>
      <c r="D61" s="41">
        <v>57</v>
      </c>
      <c r="E61" s="28" t="s">
        <v>128</v>
      </c>
      <c r="F61" s="30" t="s">
        <v>129</v>
      </c>
      <c r="G61" s="14">
        <v>144.74639999999999</v>
      </c>
      <c r="H61" s="32">
        <f t="shared" si="14"/>
        <v>5600</v>
      </c>
      <c r="I61" s="34"/>
      <c r="J61" s="24"/>
      <c r="K61" s="49"/>
      <c r="L61" s="16"/>
      <c r="M61" s="54"/>
      <c r="N61" s="21" t="s">
        <v>15</v>
      </c>
    </row>
    <row r="62" spans="1:14" ht="82.5" customHeight="1">
      <c r="A62" s="82"/>
      <c r="B62" s="82"/>
      <c r="C62" s="42"/>
      <c r="D62" s="41">
        <v>58</v>
      </c>
      <c r="E62" s="28" t="s">
        <v>130</v>
      </c>
      <c r="F62" s="30" t="s">
        <v>131</v>
      </c>
      <c r="G62" s="14">
        <v>91.056899999999999</v>
      </c>
      <c r="H62" s="32">
        <f t="shared" si="14"/>
        <v>3500</v>
      </c>
      <c r="I62" s="34">
        <f>ROUND(G62/$I$3,-1)</f>
        <v>3250</v>
      </c>
      <c r="J62" s="24">
        <f t="shared" ref="J62" si="19">ROUND(G62/$J$3,-1)</f>
        <v>3040</v>
      </c>
      <c r="K62" s="49">
        <f t="shared" ref="K62" si="20">ROUND(G62/$K$3,-1)</f>
        <v>2850</v>
      </c>
      <c r="L62" s="16"/>
      <c r="M62" s="54"/>
      <c r="N62" s="21" t="s">
        <v>15</v>
      </c>
    </row>
    <row r="63" spans="1:14" ht="70.5" customHeight="1">
      <c r="A63" s="63" t="s">
        <v>132</v>
      </c>
      <c r="B63" s="64"/>
      <c r="C63" s="42"/>
      <c r="D63" s="41">
        <v>59</v>
      </c>
      <c r="E63" s="28" t="s">
        <v>133</v>
      </c>
      <c r="F63" s="30" t="s">
        <v>134</v>
      </c>
      <c r="G63" s="14">
        <v>91.056899999999999</v>
      </c>
      <c r="H63" s="32">
        <f t="shared" si="14"/>
        <v>3500</v>
      </c>
      <c r="I63" s="34"/>
      <c r="J63" s="24"/>
      <c r="K63" s="49"/>
      <c r="L63" s="16"/>
      <c r="M63" s="54"/>
      <c r="N63" s="21" t="s">
        <v>15</v>
      </c>
    </row>
    <row r="64" spans="1:14" ht="57.6" customHeight="1">
      <c r="A64" s="65"/>
      <c r="B64" s="66"/>
      <c r="C64" s="43"/>
      <c r="D64" s="41">
        <v>60</v>
      </c>
      <c r="E64" s="22" t="s">
        <v>135</v>
      </c>
      <c r="F64" s="30" t="s">
        <v>136</v>
      </c>
      <c r="G64" s="14">
        <v>37.103636363636362</v>
      </c>
      <c r="H64" s="32">
        <f t="shared" si="9"/>
        <v>1430</v>
      </c>
      <c r="I64" s="34"/>
      <c r="J64" s="24"/>
      <c r="K64" s="49"/>
      <c r="L64" s="16"/>
      <c r="M64" s="54"/>
      <c r="N64" s="21" t="s">
        <v>15</v>
      </c>
    </row>
    <row r="65" spans="1:14" ht="54.95" customHeight="1">
      <c r="A65" s="65"/>
      <c r="B65" s="66"/>
      <c r="C65" s="44"/>
      <c r="D65" s="41">
        <v>61</v>
      </c>
      <c r="E65" s="22" t="s">
        <v>137</v>
      </c>
      <c r="F65" s="30" t="s">
        <v>138</v>
      </c>
      <c r="G65" s="14">
        <v>104.717</v>
      </c>
      <c r="H65" s="32">
        <f t="shared" si="9"/>
        <v>4030</v>
      </c>
      <c r="I65" s="34"/>
      <c r="J65" s="24"/>
      <c r="K65" s="49"/>
      <c r="L65" s="16"/>
      <c r="M65" s="54"/>
      <c r="N65" s="21" t="s">
        <v>15</v>
      </c>
    </row>
    <row r="66" spans="1:14" ht="57" customHeight="1">
      <c r="A66" s="67"/>
      <c r="B66" s="68"/>
      <c r="C66" s="44"/>
      <c r="D66" s="41">
        <v>62</v>
      </c>
      <c r="E66" s="22" t="s">
        <v>139</v>
      </c>
      <c r="F66" s="30" t="s">
        <v>138</v>
      </c>
      <c r="G66" s="14">
        <v>99.717000000000013</v>
      </c>
      <c r="H66" s="32">
        <f t="shared" si="9"/>
        <v>3840</v>
      </c>
      <c r="I66" s="34"/>
      <c r="J66" s="24"/>
      <c r="K66" s="49"/>
      <c r="L66" s="16"/>
      <c r="M66" s="54"/>
      <c r="N66" s="21" t="s">
        <v>15</v>
      </c>
    </row>
    <row r="67" spans="1:14" ht="60.95" customHeight="1">
      <c r="A67" s="69" t="s">
        <v>140</v>
      </c>
      <c r="B67" s="70"/>
      <c r="C67" s="44"/>
      <c r="D67" s="41">
        <v>63</v>
      </c>
      <c r="E67" s="22" t="s">
        <v>141</v>
      </c>
      <c r="F67" s="30" t="s">
        <v>138</v>
      </c>
      <c r="G67" s="14">
        <v>109.717</v>
      </c>
      <c r="H67" s="32">
        <f t="shared" si="9"/>
        <v>4220</v>
      </c>
      <c r="I67" s="34"/>
      <c r="J67" s="24"/>
      <c r="K67" s="49"/>
      <c r="L67" s="16"/>
      <c r="M67" s="54"/>
      <c r="N67" s="21" t="s">
        <v>15</v>
      </c>
    </row>
    <row r="68" spans="1:14" ht="67.5" customHeight="1">
      <c r="A68" s="71"/>
      <c r="B68" s="72"/>
      <c r="C68" s="12"/>
      <c r="D68" s="41">
        <v>64</v>
      </c>
      <c r="E68" s="22" t="s">
        <v>142</v>
      </c>
      <c r="F68" s="30" t="s">
        <v>143</v>
      </c>
      <c r="G68" s="14">
        <v>100.97</v>
      </c>
      <c r="H68" s="32">
        <f t="shared" si="9"/>
        <v>3880</v>
      </c>
      <c r="I68" s="34">
        <f>ROUND(G68/$I$3,-1)</f>
        <v>3610</v>
      </c>
      <c r="J68" s="24">
        <f t="shared" ref="J68" si="21">ROUND(G68/$J$3,-1)</f>
        <v>3370</v>
      </c>
      <c r="K68" s="49">
        <f t="shared" ref="K68" si="22">ROUND(G68/$K$3,-1)</f>
        <v>3160</v>
      </c>
      <c r="L68" s="19"/>
      <c r="M68" s="54"/>
      <c r="N68" s="21" t="s">
        <v>15</v>
      </c>
    </row>
    <row r="69" spans="1:14" ht="71.45" customHeight="1">
      <c r="A69" s="71"/>
      <c r="B69" s="72"/>
      <c r="C69" s="44"/>
      <c r="D69" s="41">
        <v>65</v>
      </c>
      <c r="E69" s="22" t="s">
        <v>144</v>
      </c>
      <c r="F69" s="30" t="s">
        <v>145</v>
      </c>
      <c r="G69" s="14">
        <v>211.06</v>
      </c>
      <c r="H69" s="32">
        <f t="shared" si="9"/>
        <v>8120</v>
      </c>
      <c r="I69" s="34"/>
      <c r="J69" s="24"/>
      <c r="K69" s="49"/>
      <c r="L69" s="19"/>
      <c r="M69" s="54"/>
      <c r="N69" s="21" t="s">
        <v>15</v>
      </c>
    </row>
    <row r="70" spans="1:14" s="45" customFormat="1" ht="83.1" customHeight="1">
      <c r="A70" s="73"/>
      <c r="B70" s="74"/>
      <c r="C70" s="44"/>
      <c r="D70" s="41">
        <v>66</v>
      </c>
      <c r="E70" s="22" t="s">
        <v>146</v>
      </c>
      <c r="F70" s="30" t="s">
        <v>147</v>
      </c>
      <c r="G70" s="14">
        <v>45.97</v>
      </c>
      <c r="H70" s="32">
        <f t="shared" si="9"/>
        <v>1770</v>
      </c>
      <c r="I70" s="34"/>
      <c r="J70" s="24"/>
      <c r="K70" s="49"/>
      <c r="L70" s="19"/>
      <c r="M70" s="54"/>
      <c r="N70" s="21" t="s">
        <v>15</v>
      </c>
    </row>
    <row r="71" spans="1:14">
      <c r="C71" s="44"/>
      <c r="D71" s="41">
        <v>67</v>
      </c>
      <c r="E71" s="22" t="s">
        <v>148</v>
      </c>
      <c r="F71" s="30" t="s">
        <v>149</v>
      </c>
      <c r="G71" s="14">
        <v>141.01999999999998</v>
      </c>
      <c r="H71" s="32">
        <f t="shared" si="9"/>
        <v>5420</v>
      </c>
      <c r="I71" s="34"/>
      <c r="J71" s="24"/>
      <c r="K71" s="49"/>
      <c r="L71" s="19"/>
      <c r="M71" s="54"/>
      <c r="N71" s="21" t="s">
        <v>15</v>
      </c>
    </row>
    <row r="72" spans="1:14">
      <c r="G72" s="2"/>
      <c r="H72" s="2"/>
      <c r="I72" s="2"/>
      <c r="J72" s="2"/>
      <c r="K72" s="2"/>
      <c r="L72" s="2"/>
    </row>
    <row r="73" spans="1:14">
      <c r="G73" s="2"/>
      <c r="H73" s="2"/>
      <c r="I73" s="2"/>
      <c r="J73" s="2"/>
      <c r="K73" s="2"/>
      <c r="L73" s="2"/>
    </row>
    <row r="74" spans="1:14">
      <c r="G74" s="2"/>
      <c r="H74" s="2"/>
      <c r="I74" s="2"/>
      <c r="J74" s="2"/>
      <c r="K74" s="2"/>
      <c r="L74" s="2"/>
    </row>
    <row r="75" spans="1:14">
      <c r="G75" s="2"/>
      <c r="H75" s="2"/>
      <c r="I75" s="2"/>
      <c r="J75" s="2"/>
      <c r="K75" s="2"/>
      <c r="L75" s="2"/>
    </row>
    <row r="76" spans="1:14">
      <c r="G76" s="2"/>
      <c r="H76" s="2"/>
      <c r="I76" s="2"/>
      <c r="J76" s="2"/>
      <c r="K76" s="2"/>
      <c r="L76" s="2"/>
    </row>
    <row r="77" spans="1:14">
      <c r="G77" s="2"/>
      <c r="H77" s="2"/>
      <c r="I77" s="2"/>
      <c r="J77" s="2"/>
      <c r="K77" s="2"/>
      <c r="L77" s="2"/>
    </row>
    <row r="78" spans="1:14">
      <c r="G78" s="2"/>
      <c r="H78" s="2"/>
      <c r="I78" s="2"/>
      <c r="J78" s="2"/>
      <c r="K78" s="2"/>
      <c r="L78" s="2"/>
    </row>
    <row r="79" spans="1:14">
      <c r="G79" s="2"/>
      <c r="H79" s="2"/>
      <c r="I79" s="2"/>
      <c r="J79" s="2"/>
      <c r="K79" s="2"/>
      <c r="L79" s="2"/>
    </row>
    <row r="80" spans="1:14">
      <c r="G80" s="2"/>
      <c r="H80" s="2"/>
      <c r="I80" s="2"/>
      <c r="J80" s="2"/>
      <c r="K80" s="2"/>
      <c r="L80" s="2"/>
    </row>
    <row r="81" spans="7:12">
      <c r="G81" s="2"/>
      <c r="H81" s="2"/>
      <c r="I81" s="2"/>
      <c r="J81" s="2"/>
      <c r="K81" s="2"/>
      <c r="L81" s="2"/>
    </row>
    <row r="82" spans="7:12">
      <c r="G82" s="2"/>
      <c r="H82" s="2"/>
      <c r="I82" s="2"/>
      <c r="J82" s="2"/>
      <c r="K82" s="2"/>
      <c r="L82" s="2"/>
    </row>
    <row r="83" spans="7:12">
      <c r="G83" s="2"/>
      <c r="H83" s="2"/>
      <c r="I83" s="2"/>
      <c r="J83" s="2"/>
      <c r="K83" s="2"/>
      <c r="L83" s="2"/>
    </row>
    <row r="84" spans="7:12">
      <c r="G84" s="2"/>
      <c r="H84" s="2"/>
      <c r="I84" s="2"/>
      <c r="J84" s="2"/>
      <c r="K84" s="2"/>
      <c r="L84" s="2"/>
    </row>
    <row r="85" spans="7:12">
      <c r="G85" s="2"/>
      <c r="H85" s="2"/>
      <c r="I85" s="2"/>
      <c r="J85" s="2"/>
      <c r="K85" s="2"/>
      <c r="L85" s="2"/>
    </row>
    <row r="86" spans="7:12">
      <c r="G86" s="2"/>
      <c r="H86" s="2"/>
      <c r="I86" s="2"/>
      <c r="J86" s="2"/>
      <c r="K86" s="2"/>
      <c r="L86" s="2"/>
    </row>
    <row r="87" spans="7:12">
      <c r="G87" s="2"/>
      <c r="H87" s="2"/>
      <c r="I87" s="2"/>
      <c r="J87" s="2"/>
      <c r="K87" s="2"/>
      <c r="L87" s="2"/>
    </row>
    <row r="88" spans="7:12">
      <c r="G88" s="2"/>
      <c r="H88" s="2"/>
      <c r="I88" s="2"/>
      <c r="J88" s="2"/>
      <c r="K88" s="2"/>
      <c r="L88" s="2"/>
    </row>
    <row r="89" spans="7:12">
      <c r="G89" s="2"/>
      <c r="H89" s="2"/>
      <c r="I89" s="2"/>
      <c r="J89" s="2"/>
      <c r="K89" s="2"/>
      <c r="L89" s="2"/>
    </row>
    <row r="90" spans="7:12">
      <c r="G90" s="2"/>
      <c r="H90" s="2"/>
      <c r="I90" s="2"/>
      <c r="J90" s="2"/>
      <c r="K90" s="2"/>
      <c r="L90" s="2"/>
    </row>
    <row r="91" spans="7:12">
      <c r="G91" s="2"/>
      <c r="H91" s="2"/>
      <c r="I91" s="2"/>
      <c r="J91" s="2"/>
      <c r="K91" s="2"/>
      <c r="L91" s="2"/>
    </row>
    <row r="92" spans="7:12">
      <c r="G92" s="2"/>
      <c r="H92" s="2"/>
      <c r="I92" s="2"/>
      <c r="J92" s="2"/>
      <c r="K92" s="2"/>
      <c r="L92" s="2"/>
    </row>
    <row r="93" spans="7:12">
      <c r="G93" s="2"/>
      <c r="H93" s="2"/>
      <c r="I93" s="2"/>
      <c r="J93" s="2"/>
      <c r="K93" s="2"/>
      <c r="L93" s="2"/>
    </row>
    <row r="94" spans="7:12">
      <c r="G94" s="2"/>
      <c r="H94" s="2"/>
      <c r="I94" s="2"/>
      <c r="J94" s="2"/>
      <c r="K94" s="2"/>
      <c r="L94" s="2"/>
    </row>
    <row r="95" spans="7:12">
      <c r="G95" s="2"/>
      <c r="H95" s="2"/>
      <c r="I95" s="2"/>
      <c r="J95" s="2"/>
      <c r="K95" s="2"/>
      <c r="L95" s="2"/>
    </row>
    <row r="96" spans="7:12">
      <c r="G96" s="2"/>
      <c r="H96" s="2"/>
      <c r="I96" s="2"/>
      <c r="J96" s="2"/>
      <c r="K96" s="2"/>
      <c r="L96" s="2"/>
    </row>
    <row r="97" spans="7:12">
      <c r="G97" s="2"/>
      <c r="H97" s="2"/>
      <c r="I97" s="2"/>
      <c r="J97" s="2"/>
      <c r="K97" s="2"/>
      <c r="L97" s="2"/>
    </row>
    <row r="98" spans="7:12">
      <c r="G98" s="2"/>
      <c r="H98" s="2"/>
      <c r="I98" s="2"/>
      <c r="J98" s="2"/>
      <c r="K98" s="2"/>
      <c r="L98" s="2"/>
    </row>
    <row r="99" spans="7:12">
      <c r="G99" s="2"/>
      <c r="H99" s="2"/>
      <c r="I99" s="2"/>
      <c r="J99" s="2"/>
      <c r="K99" s="2"/>
      <c r="L99" s="2"/>
    </row>
    <row r="100" spans="7:12">
      <c r="G100" s="2"/>
      <c r="H100" s="2"/>
      <c r="I100" s="2"/>
      <c r="J100" s="2"/>
      <c r="K100" s="2"/>
      <c r="L100" s="2"/>
    </row>
    <row r="101" spans="7:12">
      <c r="G101" s="2"/>
      <c r="H101" s="2"/>
      <c r="I101" s="2"/>
      <c r="J101" s="2"/>
      <c r="K101" s="2"/>
      <c r="L101" s="2"/>
    </row>
    <row r="102" spans="7:12">
      <c r="G102" s="2"/>
      <c r="H102" s="2"/>
      <c r="I102" s="2"/>
      <c r="J102" s="2"/>
      <c r="K102" s="2"/>
      <c r="L102" s="2"/>
    </row>
    <row r="103" spans="7:12">
      <c r="G103" s="2"/>
      <c r="H103" s="2"/>
      <c r="I103" s="2"/>
      <c r="J103" s="2"/>
      <c r="K103" s="2"/>
      <c r="L103" s="2"/>
    </row>
    <row r="104" spans="7:12">
      <c r="G104" s="2"/>
      <c r="H104" s="2"/>
      <c r="I104" s="2"/>
      <c r="J104" s="2"/>
      <c r="K104" s="2"/>
      <c r="L104" s="2"/>
    </row>
    <row r="105" spans="7:12">
      <c r="G105" s="2"/>
      <c r="H105" s="2"/>
      <c r="I105" s="2"/>
      <c r="J105" s="2"/>
      <c r="K105" s="2"/>
      <c r="L105" s="2"/>
    </row>
    <row r="106" spans="7:12">
      <c r="G106" s="2"/>
      <c r="H106" s="2"/>
      <c r="I106" s="2"/>
      <c r="J106" s="2"/>
      <c r="K106" s="2"/>
      <c r="L106" s="2"/>
    </row>
    <row r="107" spans="7:12">
      <c r="G107" s="2"/>
      <c r="H107" s="2"/>
      <c r="I107" s="2"/>
      <c r="J107" s="2"/>
      <c r="K107" s="2"/>
      <c r="L107" s="2"/>
    </row>
    <row r="108" spans="7:12">
      <c r="G108" s="2"/>
      <c r="H108" s="2"/>
      <c r="I108" s="2"/>
      <c r="J108" s="2"/>
      <c r="K108" s="2"/>
      <c r="L108" s="2"/>
    </row>
    <row r="109" spans="7:12">
      <c r="G109" s="2"/>
      <c r="H109" s="2"/>
      <c r="I109" s="2"/>
      <c r="J109" s="2"/>
      <c r="K109" s="2"/>
      <c r="L109" s="2"/>
    </row>
    <row r="110" spans="7:12">
      <c r="G110" s="2"/>
      <c r="H110" s="2"/>
      <c r="I110" s="2"/>
      <c r="J110" s="2"/>
      <c r="K110" s="2"/>
      <c r="L110" s="2"/>
    </row>
    <row r="111" spans="7:12">
      <c r="G111" s="2"/>
      <c r="H111" s="2"/>
      <c r="I111" s="2"/>
      <c r="J111" s="2"/>
      <c r="K111" s="2"/>
      <c r="L111" s="2"/>
    </row>
    <row r="112" spans="7:12">
      <c r="G112" s="2"/>
      <c r="H112" s="2"/>
      <c r="I112" s="2"/>
      <c r="J112" s="2"/>
      <c r="K112" s="2"/>
      <c r="L112" s="2"/>
    </row>
    <row r="113" spans="7:12">
      <c r="G113" s="2"/>
      <c r="H113" s="2"/>
      <c r="I113" s="2"/>
      <c r="J113" s="2"/>
      <c r="K113" s="2"/>
      <c r="L113" s="2"/>
    </row>
    <row r="114" spans="7:12">
      <c r="G114" s="2"/>
      <c r="H114" s="2"/>
      <c r="I114" s="2"/>
      <c r="J114" s="2"/>
      <c r="K114" s="2"/>
      <c r="L114" s="2"/>
    </row>
    <row r="115" spans="7:12">
      <c r="G115" s="2"/>
      <c r="H115" s="2"/>
      <c r="I115" s="2"/>
      <c r="J115" s="2"/>
      <c r="K115" s="2"/>
      <c r="L115" s="2"/>
    </row>
    <row r="116" spans="7:12">
      <c r="G116" s="2"/>
      <c r="H116" s="2"/>
      <c r="I116" s="2"/>
      <c r="J116" s="2"/>
      <c r="K116" s="2"/>
      <c r="L116" s="2"/>
    </row>
    <row r="117" spans="7:12">
      <c r="G117" s="2"/>
      <c r="H117" s="2"/>
      <c r="I117" s="2"/>
      <c r="J117" s="2"/>
      <c r="K117" s="2"/>
      <c r="L117" s="2"/>
    </row>
    <row r="118" spans="7:12">
      <c r="G118" s="2"/>
      <c r="H118" s="2"/>
      <c r="I118" s="2"/>
      <c r="J118" s="2"/>
      <c r="K118" s="2"/>
      <c r="L118" s="2"/>
    </row>
    <row r="119" spans="7:12">
      <c r="G119" s="2"/>
      <c r="H119" s="2"/>
      <c r="I119" s="2"/>
      <c r="J119" s="2"/>
      <c r="K119" s="2"/>
      <c r="L119" s="2"/>
    </row>
    <row r="120" spans="7:12">
      <c r="G120" s="2"/>
      <c r="H120" s="2"/>
      <c r="I120" s="2"/>
      <c r="J120" s="2"/>
      <c r="K120" s="2"/>
      <c r="L120" s="2"/>
    </row>
    <row r="121" spans="7:12">
      <c r="G121" s="2"/>
      <c r="H121" s="2"/>
      <c r="I121" s="2"/>
      <c r="J121" s="2"/>
      <c r="K121" s="2"/>
      <c r="L121" s="2"/>
    </row>
    <row r="122" spans="7:12">
      <c r="G122" s="2"/>
      <c r="H122" s="2"/>
      <c r="I122" s="2"/>
      <c r="J122" s="2"/>
      <c r="K122" s="2"/>
      <c r="L122" s="2"/>
    </row>
    <row r="123" spans="7:12">
      <c r="G123" s="2"/>
      <c r="H123" s="2"/>
      <c r="I123" s="2"/>
      <c r="J123" s="2"/>
      <c r="K123" s="2"/>
      <c r="L123" s="2"/>
    </row>
    <row r="124" spans="7:12">
      <c r="G124" s="2"/>
      <c r="H124" s="2"/>
      <c r="I124" s="2"/>
      <c r="J124" s="2"/>
      <c r="K124" s="2"/>
      <c r="L124" s="2"/>
    </row>
    <row r="125" spans="7:12">
      <c r="G125" s="2"/>
      <c r="H125" s="2"/>
      <c r="I125" s="2"/>
      <c r="J125" s="2"/>
      <c r="K125" s="2"/>
      <c r="L125" s="2"/>
    </row>
    <row r="126" spans="7:12">
      <c r="G126" s="2"/>
      <c r="H126" s="2"/>
      <c r="I126" s="2"/>
      <c r="J126" s="2"/>
      <c r="K126" s="2"/>
      <c r="L126" s="2"/>
    </row>
    <row r="127" spans="7:12">
      <c r="G127" s="2"/>
      <c r="H127" s="2"/>
      <c r="I127" s="2"/>
      <c r="J127" s="2"/>
      <c r="K127" s="2"/>
      <c r="L127" s="2"/>
    </row>
    <row r="128" spans="7:12">
      <c r="G128" s="2"/>
      <c r="H128" s="2"/>
      <c r="I128" s="2"/>
      <c r="J128" s="2"/>
      <c r="K128" s="2"/>
      <c r="L128" s="2"/>
    </row>
    <row r="129" spans="7:12">
      <c r="G129" s="2"/>
      <c r="H129" s="2"/>
      <c r="I129" s="2"/>
      <c r="J129" s="2"/>
      <c r="K129" s="2"/>
      <c r="L129" s="2"/>
    </row>
    <row r="130" spans="7:12">
      <c r="G130" s="2"/>
      <c r="H130" s="2"/>
      <c r="I130" s="2"/>
      <c r="J130" s="2"/>
      <c r="K130" s="2"/>
      <c r="L130" s="2"/>
    </row>
    <row r="131" spans="7:12">
      <c r="G131" s="2"/>
      <c r="H131" s="2"/>
      <c r="I131" s="2"/>
      <c r="J131" s="2"/>
      <c r="K131" s="2"/>
      <c r="L131" s="2"/>
    </row>
    <row r="132" spans="7:12">
      <c r="G132" s="2"/>
      <c r="H132" s="2"/>
      <c r="I132" s="2"/>
      <c r="J132" s="2"/>
      <c r="K132" s="2"/>
      <c r="L132" s="2"/>
    </row>
    <row r="133" spans="7:12">
      <c r="G133" s="2"/>
      <c r="H133" s="2"/>
      <c r="I133" s="2"/>
      <c r="J133" s="2"/>
      <c r="K133" s="2"/>
      <c r="L133" s="2"/>
    </row>
    <row r="134" spans="7:12">
      <c r="G134" s="2"/>
      <c r="H134" s="2"/>
      <c r="I134" s="2"/>
      <c r="J134" s="2"/>
      <c r="K134" s="2"/>
      <c r="L134" s="2"/>
    </row>
    <row r="135" spans="7:12">
      <c r="G135" s="2"/>
      <c r="H135" s="2"/>
      <c r="I135" s="2"/>
      <c r="J135" s="2"/>
      <c r="K135" s="2"/>
      <c r="L135" s="2"/>
    </row>
    <row r="136" spans="7:12">
      <c r="G136" s="2"/>
      <c r="H136" s="2"/>
      <c r="I136" s="2"/>
      <c r="J136" s="2"/>
      <c r="K136" s="2"/>
      <c r="L136" s="2"/>
    </row>
    <row r="137" spans="7:12">
      <c r="G137" s="2"/>
      <c r="H137" s="2"/>
      <c r="I137" s="2"/>
      <c r="J137" s="2"/>
      <c r="K137" s="2"/>
      <c r="L137" s="2"/>
    </row>
    <row r="138" spans="7:12">
      <c r="G138" s="2"/>
      <c r="H138" s="2"/>
      <c r="I138" s="2"/>
      <c r="J138" s="2"/>
      <c r="K138" s="2"/>
      <c r="L138" s="2"/>
    </row>
    <row r="139" spans="7:12">
      <c r="G139" s="2"/>
      <c r="H139" s="2"/>
      <c r="I139" s="2"/>
      <c r="J139" s="2"/>
      <c r="K139" s="2"/>
      <c r="L139" s="2"/>
    </row>
    <row r="140" spans="7:12">
      <c r="G140" s="2"/>
      <c r="H140" s="2"/>
      <c r="I140" s="2"/>
      <c r="J140" s="2"/>
      <c r="K140" s="2"/>
      <c r="L140" s="2"/>
    </row>
    <row r="141" spans="7:12">
      <c r="G141" s="2"/>
      <c r="H141" s="2"/>
      <c r="I141" s="2"/>
      <c r="J141" s="2"/>
      <c r="K141" s="2"/>
      <c r="L141" s="2"/>
    </row>
    <row r="142" spans="7:12">
      <c r="G142" s="2"/>
      <c r="H142" s="2"/>
      <c r="I142" s="2"/>
      <c r="J142" s="2"/>
      <c r="K142" s="2"/>
      <c r="L142" s="2"/>
    </row>
    <row r="143" spans="7:12">
      <c r="G143" s="2"/>
      <c r="H143" s="2"/>
      <c r="I143" s="2"/>
      <c r="J143" s="2"/>
      <c r="K143" s="2"/>
      <c r="L143" s="2"/>
    </row>
    <row r="144" spans="7:12">
      <c r="G144" s="2"/>
      <c r="H144" s="2"/>
      <c r="I144" s="2"/>
      <c r="J144" s="2"/>
      <c r="K144" s="2"/>
      <c r="L144" s="2"/>
    </row>
    <row r="145" spans="7:12">
      <c r="G145" s="2"/>
      <c r="H145" s="2"/>
      <c r="I145" s="2"/>
      <c r="J145" s="2"/>
      <c r="K145" s="2"/>
      <c r="L145" s="2"/>
    </row>
    <row r="146" spans="7:12">
      <c r="G146" s="2"/>
      <c r="H146" s="2"/>
      <c r="I146" s="2"/>
      <c r="J146" s="2"/>
      <c r="K146" s="2"/>
      <c r="L146" s="2"/>
    </row>
    <row r="147" spans="7:12">
      <c r="G147" s="2"/>
      <c r="H147" s="2"/>
      <c r="I147" s="2"/>
      <c r="J147" s="2"/>
      <c r="K147" s="2"/>
      <c r="L147" s="2"/>
    </row>
    <row r="148" spans="7:12">
      <c r="G148" s="2"/>
      <c r="H148" s="2"/>
      <c r="I148" s="2"/>
      <c r="J148" s="2"/>
      <c r="K148" s="2"/>
      <c r="L148" s="2"/>
    </row>
    <row r="149" spans="7:12">
      <c r="G149" s="2"/>
      <c r="H149" s="2"/>
      <c r="I149" s="2"/>
      <c r="J149" s="2"/>
      <c r="K149" s="2"/>
      <c r="L149" s="2"/>
    </row>
    <row r="150" spans="7:12">
      <c r="G150" s="2"/>
      <c r="H150" s="2"/>
      <c r="I150" s="2"/>
      <c r="J150" s="2"/>
      <c r="K150" s="2"/>
      <c r="L150" s="2"/>
    </row>
    <row r="151" spans="7:12">
      <c r="G151" s="2"/>
      <c r="H151" s="2"/>
      <c r="I151" s="2"/>
      <c r="J151" s="2"/>
      <c r="K151" s="2"/>
      <c r="L151" s="2"/>
    </row>
    <row r="152" spans="7:12">
      <c r="G152" s="2"/>
      <c r="H152" s="2"/>
      <c r="I152" s="2"/>
      <c r="J152" s="2"/>
      <c r="K152" s="2"/>
      <c r="L152" s="2"/>
    </row>
    <row r="153" spans="7:12">
      <c r="G153" s="2"/>
      <c r="H153" s="2"/>
      <c r="I153" s="2"/>
      <c r="J153" s="2"/>
      <c r="K153" s="2"/>
      <c r="L153" s="2"/>
    </row>
    <row r="154" spans="7:12">
      <c r="G154" s="2"/>
      <c r="H154" s="2"/>
      <c r="I154" s="2"/>
      <c r="J154" s="2"/>
      <c r="K154" s="2"/>
      <c r="L154" s="2"/>
    </row>
    <row r="155" spans="7:12">
      <c r="G155" s="2"/>
      <c r="H155" s="2"/>
      <c r="I155" s="2"/>
      <c r="J155" s="2"/>
      <c r="K155" s="2"/>
      <c r="L155" s="2"/>
    </row>
    <row r="156" spans="7:12">
      <c r="G156" s="2"/>
      <c r="H156" s="2"/>
      <c r="I156" s="2"/>
      <c r="J156" s="2"/>
      <c r="K156" s="2"/>
      <c r="L156" s="2"/>
    </row>
    <row r="157" spans="7:12">
      <c r="G157" s="2"/>
      <c r="H157" s="2"/>
      <c r="I157" s="2"/>
      <c r="J157" s="2"/>
      <c r="K157" s="2"/>
      <c r="L157" s="2"/>
    </row>
    <row r="158" spans="7:12">
      <c r="G158" s="2"/>
      <c r="H158" s="2"/>
      <c r="I158" s="2"/>
      <c r="J158" s="2"/>
      <c r="K158" s="2"/>
      <c r="L158" s="2"/>
    </row>
    <row r="159" spans="7:12">
      <c r="G159" s="2"/>
      <c r="H159" s="2"/>
      <c r="I159" s="2"/>
      <c r="J159" s="2"/>
      <c r="K159" s="2"/>
      <c r="L159" s="2"/>
    </row>
    <row r="160" spans="7:12">
      <c r="G160" s="2"/>
      <c r="H160" s="2"/>
      <c r="I160" s="2"/>
      <c r="J160" s="2"/>
      <c r="K160" s="2"/>
      <c r="L160" s="2"/>
    </row>
    <row r="161" spans="7:12">
      <c r="G161" s="2"/>
      <c r="H161" s="2"/>
      <c r="I161" s="2"/>
      <c r="J161" s="2"/>
      <c r="K161" s="2"/>
      <c r="L161" s="2"/>
    </row>
    <row r="162" spans="7:12">
      <c r="G162" s="2"/>
      <c r="H162" s="2"/>
      <c r="I162" s="2"/>
      <c r="J162" s="2"/>
      <c r="K162" s="2"/>
      <c r="L162" s="2"/>
    </row>
    <row r="163" spans="7:12">
      <c r="G163" s="2"/>
      <c r="H163" s="2"/>
      <c r="I163" s="2"/>
      <c r="J163" s="2"/>
      <c r="K163" s="2"/>
      <c r="L163" s="2"/>
    </row>
    <row r="164" spans="7:12">
      <c r="G164" s="2"/>
      <c r="H164" s="2"/>
      <c r="I164" s="2"/>
      <c r="J164" s="2"/>
      <c r="K164" s="2"/>
      <c r="L164" s="2"/>
    </row>
    <row r="165" spans="7:12">
      <c r="G165" s="2"/>
      <c r="H165" s="2"/>
      <c r="I165" s="2"/>
      <c r="J165" s="2"/>
      <c r="K165" s="2"/>
      <c r="L165" s="2"/>
    </row>
    <row r="166" spans="7:12">
      <c r="G166" s="2"/>
      <c r="H166" s="2"/>
      <c r="I166" s="2"/>
      <c r="J166" s="2"/>
      <c r="K166" s="2"/>
      <c r="L166" s="2"/>
    </row>
    <row r="167" spans="7:12">
      <c r="G167" s="2"/>
      <c r="H167" s="2"/>
      <c r="I167" s="2"/>
      <c r="J167" s="2"/>
      <c r="K167" s="2"/>
      <c r="L167" s="2"/>
    </row>
    <row r="168" spans="7:12">
      <c r="G168" s="2"/>
      <c r="H168" s="2"/>
      <c r="I168" s="2"/>
      <c r="J168" s="2"/>
      <c r="K168" s="2"/>
      <c r="L168" s="2"/>
    </row>
    <row r="169" spans="7:12">
      <c r="G169" s="2"/>
      <c r="H169" s="2"/>
      <c r="I169" s="2"/>
      <c r="J169" s="2"/>
      <c r="K169" s="2"/>
      <c r="L169" s="2"/>
    </row>
    <row r="170" spans="7:12">
      <c r="G170" s="2"/>
      <c r="H170" s="2"/>
      <c r="I170" s="2"/>
      <c r="J170" s="2"/>
      <c r="K170" s="2"/>
      <c r="L170" s="2"/>
    </row>
    <row r="171" spans="7:12">
      <c r="G171" s="2"/>
      <c r="H171" s="2"/>
      <c r="I171" s="2"/>
      <c r="J171" s="2"/>
      <c r="K171" s="2"/>
      <c r="L171" s="2"/>
    </row>
    <row r="172" spans="7:12">
      <c r="G172" s="2"/>
      <c r="H172" s="2"/>
      <c r="I172" s="2"/>
      <c r="J172" s="2"/>
      <c r="K172" s="2"/>
      <c r="L172" s="2"/>
    </row>
    <row r="173" spans="7:12">
      <c r="G173" s="2"/>
      <c r="H173" s="2"/>
      <c r="I173" s="2"/>
      <c r="J173" s="2"/>
      <c r="K173" s="2"/>
      <c r="L173" s="2"/>
    </row>
    <row r="174" spans="7:12">
      <c r="G174" s="2"/>
      <c r="H174" s="2"/>
      <c r="I174" s="2"/>
      <c r="J174" s="2"/>
      <c r="K174" s="2"/>
      <c r="L174" s="2"/>
    </row>
    <row r="175" spans="7:12">
      <c r="G175" s="2"/>
      <c r="H175" s="2"/>
      <c r="I175" s="2"/>
      <c r="J175" s="2"/>
      <c r="K175" s="2"/>
      <c r="L175" s="2"/>
    </row>
    <row r="176" spans="7:12">
      <c r="G176" s="2"/>
      <c r="H176" s="2"/>
      <c r="I176" s="2"/>
      <c r="J176" s="2"/>
      <c r="K176" s="2"/>
      <c r="L176" s="2"/>
    </row>
    <row r="177" spans="7:12">
      <c r="G177" s="2"/>
      <c r="H177" s="2"/>
      <c r="I177" s="2"/>
      <c r="J177" s="2"/>
      <c r="K177" s="2"/>
      <c r="L177" s="2"/>
    </row>
    <row r="178" spans="7:12">
      <c r="G178" s="2"/>
      <c r="H178" s="2"/>
      <c r="I178" s="2"/>
      <c r="J178" s="2"/>
      <c r="K178" s="2"/>
      <c r="L178" s="2"/>
    </row>
    <row r="179" spans="7:12">
      <c r="G179" s="2"/>
      <c r="H179" s="2"/>
      <c r="I179" s="2"/>
      <c r="J179" s="2"/>
      <c r="K179" s="2"/>
      <c r="L179" s="2"/>
    </row>
    <row r="180" spans="7:12">
      <c r="G180" s="2"/>
      <c r="H180" s="2"/>
      <c r="I180" s="2"/>
      <c r="J180" s="2"/>
      <c r="K180" s="2"/>
      <c r="L180" s="2"/>
    </row>
    <row r="181" spans="7:12">
      <c r="G181" s="2"/>
      <c r="H181" s="2"/>
      <c r="I181" s="2"/>
      <c r="J181" s="2"/>
      <c r="K181" s="2"/>
      <c r="L181" s="2"/>
    </row>
    <row r="182" spans="7:12">
      <c r="G182" s="2"/>
      <c r="H182" s="2"/>
      <c r="I182" s="2"/>
      <c r="J182" s="2"/>
      <c r="K182" s="2"/>
      <c r="L182" s="2"/>
    </row>
    <row r="183" spans="7:12">
      <c r="G183" s="2"/>
      <c r="H183" s="2"/>
      <c r="I183" s="2"/>
      <c r="J183" s="2"/>
      <c r="K183" s="2"/>
      <c r="L183" s="2"/>
    </row>
    <row r="184" spans="7:12">
      <c r="G184" s="2"/>
      <c r="H184" s="2"/>
      <c r="I184" s="2"/>
      <c r="J184" s="2"/>
      <c r="K184" s="2"/>
      <c r="L184" s="2"/>
    </row>
    <row r="185" spans="7:12">
      <c r="G185" s="2"/>
      <c r="H185" s="2"/>
      <c r="I185" s="2"/>
      <c r="J185" s="2"/>
      <c r="K185" s="2"/>
      <c r="L185" s="2"/>
    </row>
    <row r="186" spans="7:12">
      <c r="G186" s="2"/>
      <c r="H186" s="2"/>
      <c r="I186" s="2"/>
      <c r="J186" s="2"/>
      <c r="K186" s="2"/>
      <c r="L186" s="2"/>
    </row>
    <row r="187" spans="7:12">
      <c r="G187" s="2"/>
      <c r="H187" s="2"/>
      <c r="I187" s="2"/>
      <c r="J187" s="2"/>
      <c r="K187" s="2"/>
      <c r="L187" s="2"/>
    </row>
    <row r="188" spans="7:12">
      <c r="G188" s="2"/>
      <c r="H188" s="2"/>
      <c r="I188" s="2"/>
      <c r="J188" s="2"/>
      <c r="K188" s="2"/>
      <c r="L188" s="2"/>
    </row>
    <row r="189" spans="7:12">
      <c r="G189" s="2"/>
      <c r="H189" s="2"/>
      <c r="I189" s="2"/>
      <c r="J189" s="2"/>
      <c r="K189" s="2"/>
      <c r="L189" s="2"/>
    </row>
    <row r="190" spans="7:12">
      <c r="G190" s="2"/>
      <c r="H190" s="2"/>
      <c r="I190" s="2"/>
      <c r="J190" s="2"/>
      <c r="K190" s="2"/>
      <c r="L190" s="2"/>
    </row>
    <row r="191" spans="7:12">
      <c r="G191" s="2"/>
      <c r="H191" s="2"/>
      <c r="I191" s="2"/>
      <c r="J191" s="2"/>
      <c r="K191" s="2"/>
      <c r="L191" s="2"/>
    </row>
    <row r="192" spans="7:12">
      <c r="G192" s="2"/>
      <c r="H192" s="2"/>
      <c r="I192" s="2"/>
      <c r="J192" s="2"/>
      <c r="K192" s="2"/>
      <c r="L192" s="2"/>
    </row>
    <row r="193" spans="7:12">
      <c r="G193" s="2"/>
      <c r="H193" s="2"/>
      <c r="I193" s="2"/>
      <c r="J193" s="2"/>
      <c r="K193" s="2"/>
      <c r="L193" s="2"/>
    </row>
    <row r="194" spans="7:12">
      <c r="G194" s="2"/>
      <c r="H194" s="2"/>
      <c r="I194" s="2"/>
      <c r="J194" s="2"/>
      <c r="K194" s="2"/>
      <c r="L194" s="2"/>
    </row>
    <row r="195" spans="7:12">
      <c r="G195" s="2"/>
      <c r="H195" s="2"/>
      <c r="I195" s="2"/>
      <c r="J195" s="2"/>
      <c r="K195" s="2"/>
      <c r="L195" s="2"/>
    </row>
    <row r="196" spans="7:12">
      <c r="G196" s="2"/>
      <c r="H196" s="2"/>
      <c r="I196" s="2"/>
      <c r="J196" s="2"/>
      <c r="K196" s="2"/>
      <c r="L196" s="2"/>
    </row>
    <row r="197" spans="7:12">
      <c r="G197" s="2"/>
      <c r="H197" s="2"/>
      <c r="I197" s="2"/>
      <c r="J197" s="2"/>
      <c r="K197" s="2"/>
      <c r="L197" s="2"/>
    </row>
    <row r="198" spans="7:12">
      <c r="G198" s="2"/>
      <c r="H198" s="2"/>
      <c r="I198" s="2"/>
      <c r="J198" s="2"/>
      <c r="K198" s="2"/>
      <c r="L198" s="2"/>
    </row>
    <row r="199" spans="7:12">
      <c r="G199" s="2"/>
      <c r="H199" s="2"/>
      <c r="I199" s="2"/>
      <c r="J199" s="2"/>
      <c r="K199" s="2"/>
      <c r="L199" s="2"/>
    </row>
    <row r="200" spans="7:12">
      <c r="G200" s="2"/>
      <c r="H200" s="2"/>
      <c r="I200" s="2"/>
      <c r="J200" s="2"/>
      <c r="K200" s="2"/>
      <c r="L200" s="2"/>
    </row>
    <row r="201" spans="7:12">
      <c r="G201" s="2"/>
      <c r="H201" s="2"/>
      <c r="I201" s="2"/>
      <c r="J201" s="2"/>
      <c r="K201" s="2"/>
      <c r="L201" s="2"/>
    </row>
    <row r="202" spans="7:12">
      <c r="G202" s="2"/>
      <c r="H202" s="2"/>
      <c r="I202" s="2"/>
      <c r="J202" s="2"/>
      <c r="K202" s="2"/>
      <c r="L202" s="2"/>
    </row>
    <row r="203" spans="7:12">
      <c r="G203" s="2"/>
      <c r="H203" s="2"/>
      <c r="I203" s="2"/>
      <c r="J203" s="2"/>
      <c r="K203" s="2"/>
      <c r="L203" s="2"/>
    </row>
    <row r="204" spans="7:12">
      <c r="G204" s="2"/>
      <c r="H204" s="2"/>
      <c r="I204" s="2"/>
      <c r="J204" s="2"/>
      <c r="K204" s="2"/>
      <c r="L204" s="2"/>
    </row>
    <row r="205" spans="7:12">
      <c r="G205" s="2"/>
      <c r="H205" s="2"/>
      <c r="I205" s="2"/>
      <c r="J205" s="2"/>
      <c r="K205" s="2"/>
      <c r="L205" s="2"/>
    </row>
    <row r="206" spans="7:12">
      <c r="G206" s="2"/>
      <c r="H206" s="2"/>
      <c r="I206" s="2"/>
      <c r="J206" s="2"/>
      <c r="K206" s="2"/>
      <c r="L206" s="2"/>
    </row>
    <row r="207" spans="7:12">
      <c r="G207" s="2"/>
      <c r="H207" s="2"/>
      <c r="I207" s="2"/>
      <c r="J207" s="2"/>
      <c r="K207" s="2"/>
      <c r="L207" s="2"/>
    </row>
    <row r="208" spans="7:12">
      <c r="G208" s="2"/>
      <c r="H208" s="2"/>
      <c r="I208" s="2"/>
      <c r="J208" s="2"/>
      <c r="K208" s="2"/>
      <c r="L208" s="2"/>
    </row>
    <row r="209" spans="7:12">
      <c r="G209" s="2"/>
      <c r="H209" s="2"/>
      <c r="I209" s="2"/>
      <c r="J209" s="2"/>
      <c r="K209" s="2"/>
      <c r="L209" s="2"/>
    </row>
    <row r="210" spans="7:12">
      <c r="G210" s="2"/>
      <c r="H210" s="2"/>
      <c r="I210" s="2"/>
      <c r="J210" s="2"/>
      <c r="K210" s="2"/>
      <c r="L210" s="2"/>
    </row>
    <row r="211" spans="7:12">
      <c r="G211" s="2"/>
      <c r="H211" s="2"/>
      <c r="I211" s="2"/>
      <c r="J211" s="2"/>
      <c r="K211" s="2"/>
      <c r="L211" s="2"/>
    </row>
    <row r="212" spans="7:12">
      <c r="G212" s="2"/>
      <c r="H212" s="2"/>
      <c r="I212" s="2"/>
      <c r="J212" s="2"/>
      <c r="K212" s="2"/>
      <c r="L212" s="2"/>
    </row>
    <row r="213" spans="7:12">
      <c r="G213" s="2"/>
      <c r="H213" s="2"/>
      <c r="I213" s="2"/>
      <c r="J213" s="2"/>
      <c r="K213" s="2"/>
      <c r="L213" s="2"/>
    </row>
    <row r="214" spans="7:12">
      <c r="G214" s="2"/>
      <c r="H214" s="2"/>
      <c r="I214" s="2"/>
      <c r="J214" s="2"/>
      <c r="K214" s="2"/>
      <c r="L214" s="2"/>
    </row>
    <row r="215" spans="7:12">
      <c r="G215" s="2"/>
      <c r="H215" s="2"/>
      <c r="I215" s="2"/>
      <c r="J215" s="2"/>
      <c r="K215" s="2"/>
      <c r="L215" s="2"/>
    </row>
    <row r="216" spans="7:12">
      <c r="G216" s="2"/>
      <c r="H216" s="2"/>
      <c r="I216" s="2"/>
      <c r="J216" s="2"/>
      <c r="K216" s="2"/>
      <c r="L216" s="2"/>
    </row>
    <row r="217" spans="7:12">
      <c r="G217" s="2"/>
      <c r="H217" s="2"/>
      <c r="I217" s="2"/>
      <c r="J217" s="2"/>
      <c r="K217" s="2"/>
      <c r="L217" s="2"/>
    </row>
    <row r="218" spans="7:12">
      <c r="G218" s="2"/>
      <c r="H218" s="2"/>
      <c r="I218" s="2"/>
      <c r="J218" s="2"/>
      <c r="K218" s="2"/>
      <c r="L218" s="2"/>
    </row>
    <row r="219" spans="7:12">
      <c r="G219" s="2"/>
      <c r="H219" s="2"/>
      <c r="I219" s="2"/>
      <c r="J219" s="2"/>
      <c r="K219" s="2"/>
      <c r="L219" s="2"/>
    </row>
    <row r="220" spans="7:12">
      <c r="G220" s="2"/>
      <c r="H220" s="2"/>
      <c r="I220" s="2"/>
      <c r="J220" s="2"/>
      <c r="K220" s="2"/>
      <c r="L220" s="2"/>
    </row>
    <row r="221" spans="7:12">
      <c r="G221" s="2"/>
      <c r="H221" s="2"/>
      <c r="I221" s="2"/>
      <c r="J221" s="2"/>
      <c r="K221" s="2"/>
      <c r="L221" s="2"/>
    </row>
    <row r="222" spans="7:12">
      <c r="G222" s="2"/>
      <c r="H222" s="2"/>
      <c r="I222" s="2"/>
      <c r="J222" s="2"/>
      <c r="K222" s="2"/>
      <c r="L222" s="2"/>
    </row>
    <row r="223" spans="7:12">
      <c r="G223" s="2"/>
      <c r="H223" s="2"/>
      <c r="I223" s="2"/>
      <c r="J223" s="2"/>
      <c r="K223" s="2"/>
      <c r="L223" s="2"/>
    </row>
    <row r="224" spans="7:12">
      <c r="G224" s="2"/>
      <c r="H224" s="2"/>
      <c r="I224" s="2"/>
      <c r="J224" s="2"/>
      <c r="K224" s="2"/>
      <c r="L224" s="2"/>
    </row>
    <row r="225" spans="7:12">
      <c r="G225" s="2"/>
      <c r="H225" s="2"/>
      <c r="I225" s="2"/>
      <c r="J225" s="2"/>
      <c r="K225" s="2"/>
      <c r="L225" s="2"/>
    </row>
    <row r="226" spans="7:12">
      <c r="G226" s="2"/>
      <c r="H226" s="2"/>
      <c r="I226" s="2"/>
      <c r="J226" s="2"/>
      <c r="K226" s="2"/>
      <c r="L226" s="2"/>
    </row>
    <row r="227" spans="7:12">
      <c r="G227" s="2"/>
      <c r="H227" s="2"/>
      <c r="I227" s="2"/>
      <c r="J227" s="2"/>
      <c r="K227" s="2"/>
      <c r="L227" s="2"/>
    </row>
    <row r="228" spans="7:12">
      <c r="G228" s="2"/>
      <c r="H228" s="2"/>
      <c r="I228" s="2"/>
      <c r="J228" s="2"/>
      <c r="K228" s="2"/>
      <c r="L228" s="2"/>
    </row>
    <row r="229" spans="7:12">
      <c r="G229" s="2"/>
      <c r="H229" s="2"/>
      <c r="I229" s="2"/>
      <c r="J229" s="2"/>
      <c r="K229" s="2"/>
      <c r="L229" s="2"/>
    </row>
    <row r="230" spans="7:12">
      <c r="G230" s="2"/>
      <c r="H230" s="2"/>
      <c r="I230" s="2"/>
      <c r="J230" s="2"/>
      <c r="K230" s="2"/>
      <c r="L230" s="2"/>
    </row>
    <row r="231" spans="7:12">
      <c r="G231" s="2"/>
      <c r="H231" s="2"/>
      <c r="I231" s="2"/>
      <c r="J231" s="2"/>
      <c r="K231" s="2"/>
      <c r="L231" s="2"/>
    </row>
    <row r="232" spans="7:12">
      <c r="G232" s="2"/>
      <c r="H232" s="2"/>
      <c r="I232" s="2"/>
      <c r="J232" s="2"/>
      <c r="K232" s="2"/>
      <c r="L232" s="2"/>
    </row>
    <row r="233" spans="7:12">
      <c r="G233" s="2"/>
      <c r="H233" s="2"/>
      <c r="I233" s="2"/>
      <c r="J233" s="2"/>
      <c r="K233" s="2"/>
      <c r="L233" s="2"/>
    </row>
    <row r="234" spans="7:12">
      <c r="G234" s="2"/>
      <c r="H234" s="2"/>
      <c r="I234" s="2"/>
      <c r="J234" s="2"/>
      <c r="K234" s="2"/>
      <c r="L234" s="2"/>
    </row>
    <row r="235" spans="7:12">
      <c r="G235" s="2"/>
      <c r="H235" s="2"/>
      <c r="I235" s="2"/>
      <c r="J235" s="2"/>
      <c r="K235" s="2"/>
      <c r="L235" s="2"/>
    </row>
    <row r="236" spans="7:12">
      <c r="G236" s="2"/>
      <c r="H236" s="2"/>
      <c r="I236" s="2"/>
      <c r="J236" s="2"/>
      <c r="K236" s="2"/>
      <c r="L236" s="2"/>
    </row>
    <row r="237" spans="7:12">
      <c r="G237" s="2"/>
      <c r="H237" s="2"/>
      <c r="I237" s="2"/>
      <c r="J237" s="2"/>
      <c r="K237" s="2"/>
      <c r="L237" s="2"/>
    </row>
    <row r="238" spans="7:12">
      <c r="G238" s="2"/>
      <c r="H238" s="2"/>
      <c r="I238" s="2"/>
      <c r="J238" s="2"/>
      <c r="K238" s="2"/>
      <c r="L238" s="2"/>
    </row>
    <row r="239" spans="7:12">
      <c r="G239" s="2"/>
      <c r="H239" s="2"/>
      <c r="I239" s="2"/>
      <c r="J239" s="2"/>
      <c r="K239" s="2"/>
      <c r="L239" s="2"/>
    </row>
    <row r="240" spans="7:12">
      <c r="G240" s="2"/>
      <c r="H240" s="2"/>
      <c r="I240" s="2"/>
      <c r="J240" s="2"/>
      <c r="K240" s="2"/>
      <c r="L240" s="2"/>
    </row>
    <row r="241" spans="7:12">
      <c r="G241" s="2"/>
      <c r="H241" s="2"/>
      <c r="I241" s="2"/>
      <c r="J241" s="2"/>
      <c r="K241" s="2"/>
      <c r="L241" s="2"/>
    </row>
    <row r="242" spans="7:12">
      <c r="G242" s="2"/>
      <c r="H242" s="2"/>
      <c r="I242" s="2"/>
      <c r="J242" s="2"/>
      <c r="K242" s="2"/>
      <c r="L242" s="2"/>
    </row>
    <row r="243" spans="7:12">
      <c r="G243" s="2"/>
      <c r="H243" s="2"/>
      <c r="I243" s="2"/>
      <c r="J243" s="2"/>
      <c r="K243" s="2"/>
      <c r="L243" s="2"/>
    </row>
    <row r="244" spans="7:12">
      <c r="G244" s="2"/>
      <c r="H244" s="2"/>
      <c r="I244" s="2"/>
      <c r="J244" s="2"/>
      <c r="K244" s="2"/>
      <c r="L244" s="2"/>
    </row>
    <row r="245" spans="7:12">
      <c r="G245" s="2"/>
      <c r="H245" s="2"/>
      <c r="I245" s="2"/>
      <c r="J245" s="2"/>
      <c r="K245" s="2"/>
      <c r="L245" s="2"/>
    </row>
    <row r="246" spans="7:12">
      <c r="G246" s="2"/>
      <c r="H246" s="2"/>
      <c r="I246" s="2"/>
      <c r="J246" s="2"/>
      <c r="K246" s="2"/>
      <c r="L246" s="2"/>
    </row>
    <row r="247" spans="7:12">
      <c r="G247" s="2"/>
      <c r="H247" s="2"/>
      <c r="I247" s="2"/>
      <c r="J247" s="2"/>
      <c r="K247" s="2"/>
      <c r="L247" s="2"/>
    </row>
    <row r="248" spans="7:12">
      <c r="G248" s="2"/>
      <c r="H248" s="2"/>
      <c r="I248" s="2"/>
      <c r="J248" s="2"/>
      <c r="K248" s="2"/>
      <c r="L248" s="2"/>
    </row>
    <row r="249" spans="7:12">
      <c r="G249" s="2"/>
      <c r="H249" s="2"/>
      <c r="I249" s="2"/>
      <c r="J249" s="2"/>
      <c r="K249" s="2"/>
      <c r="L249" s="2"/>
    </row>
    <row r="250" spans="7:12">
      <c r="G250" s="2"/>
      <c r="H250" s="2"/>
      <c r="I250" s="2"/>
      <c r="J250" s="2"/>
      <c r="K250" s="2"/>
      <c r="L250" s="2"/>
    </row>
    <row r="251" spans="7:12">
      <c r="G251" s="2"/>
      <c r="H251" s="2"/>
      <c r="I251" s="2"/>
      <c r="J251" s="2"/>
      <c r="K251" s="2"/>
      <c r="L251" s="2"/>
    </row>
    <row r="252" spans="7:12">
      <c r="G252" s="2"/>
      <c r="H252" s="2"/>
      <c r="I252" s="2"/>
      <c r="J252" s="2"/>
      <c r="K252" s="2"/>
      <c r="L252" s="2"/>
    </row>
    <row r="253" spans="7:12">
      <c r="G253" s="2"/>
      <c r="H253" s="2"/>
      <c r="I253" s="2"/>
      <c r="J253" s="2"/>
      <c r="K253" s="2"/>
      <c r="L253" s="2"/>
    </row>
    <row r="254" spans="7:12">
      <c r="G254" s="2"/>
      <c r="H254" s="2"/>
      <c r="I254" s="2"/>
      <c r="J254" s="2"/>
      <c r="K254" s="2"/>
      <c r="L254" s="2"/>
    </row>
    <row r="255" spans="7:12">
      <c r="G255" s="2"/>
      <c r="H255" s="2"/>
      <c r="I255" s="2"/>
      <c r="J255" s="2"/>
      <c r="K255" s="2"/>
      <c r="L255" s="2"/>
    </row>
    <row r="256" spans="7:12">
      <c r="G256" s="2"/>
      <c r="H256" s="2"/>
      <c r="I256" s="2"/>
      <c r="J256" s="2"/>
      <c r="K256" s="2"/>
      <c r="L256" s="2"/>
    </row>
    <row r="257" spans="7:12">
      <c r="G257" s="2"/>
      <c r="H257" s="2"/>
      <c r="I257" s="2"/>
      <c r="J257" s="2"/>
      <c r="K257" s="2"/>
      <c r="L257" s="2"/>
    </row>
    <row r="258" spans="7:12">
      <c r="G258" s="2"/>
      <c r="H258" s="2"/>
      <c r="I258" s="2"/>
      <c r="J258" s="2"/>
      <c r="K258" s="2"/>
      <c r="L258" s="2"/>
    </row>
    <row r="259" spans="7:12">
      <c r="G259" s="2"/>
      <c r="H259" s="2"/>
      <c r="I259" s="2"/>
      <c r="J259" s="2"/>
      <c r="K259" s="2"/>
      <c r="L259" s="2"/>
    </row>
    <row r="260" spans="7:12">
      <c r="G260" s="2"/>
      <c r="H260" s="2"/>
      <c r="I260" s="2"/>
      <c r="J260" s="2"/>
      <c r="K260" s="2"/>
      <c r="L260" s="2"/>
    </row>
    <row r="261" spans="7:12">
      <c r="G261" s="2"/>
      <c r="H261" s="2"/>
      <c r="I261" s="2"/>
      <c r="J261" s="2"/>
      <c r="K261" s="2"/>
      <c r="L261" s="2"/>
    </row>
    <row r="262" spans="7:12">
      <c r="G262" s="2"/>
      <c r="H262" s="2"/>
      <c r="I262" s="2"/>
      <c r="J262" s="2"/>
      <c r="K262" s="2"/>
      <c r="L262" s="2"/>
    </row>
    <row r="263" spans="7:12">
      <c r="G263" s="2"/>
      <c r="H263" s="2"/>
      <c r="I263" s="2"/>
      <c r="J263" s="2"/>
      <c r="K263" s="2"/>
      <c r="L263" s="2"/>
    </row>
    <row r="264" spans="7:12">
      <c r="G264" s="2"/>
      <c r="H264" s="2"/>
      <c r="I264" s="2"/>
      <c r="J264" s="2"/>
      <c r="K264" s="2"/>
      <c r="L264" s="2"/>
    </row>
    <row r="265" spans="7:12">
      <c r="G265" s="2"/>
      <c r="H265" s="2"/>
      <c r="I265" s="2"/>
      <c r="J265" s="2"/>
      <c r="K265" s="2"/>
      <c r="L265" s="2"/>
    </row>
    <row r="266" spans="7:12">
      <c r="G266" s="2"/>
      <c r="H266" s="2"/>
      <c r="I266" s="2"/>
      <c r="J266" s="2"/>
      <c r="K266" s="2"/>
      <c r="L266" s="2"/>
    </row>
    <row r="267" spans="7:12">
      <c r="G267" s="2"/>
      <c r="H267" s="2"/>
      <c r="I267" s="2"/>
      <c r="J267" s="2"/>
      <c r="K267" s="2"/>
      <c r="L267" s="2"/>
    </row>
    <row r="268" spans="7:12">
      <c r="G268" s="2"/>
      <c r="H268" s="2"/>
      <c r="I268" s="2"/>
      <c r="J268" s="2"/>
      <c r="K268" s="2"/>
      <c r="L268" s="2"/>
    </row>
    <row r="269" spans="7:12">
      <c r="G269" s="2"/>
      <c r="H269" s="2"/>
      <c r="I269" s="2"/>
      <c r="J269" s="2"/>
      <c r="K269" s="2"/>
      <c r="L269" s="2"/>
    </row>
    <row r="270" spans="7:12">
      <c r="G270" s="2"/>
      <c r="H270" s="2"/>
      <c r="I270" s="2"/>
      <c r="J270" s="2"/>
      <c r="K270" s="2"/>
      <c r="L270" s="2"/>
    </row>
    <row r="271" spans="7:12">
      <c r="G271" s="2"/>
      <c r="H271" s="2"/>
      <c r="I271" s="2"/>
      <c r="J271" s="2"/>
      <c r="K271" s="2"/>
      <c r="L271" s="2"/>
    </row>
    <row r="272" spans="7:12">
      <c r="G272" s="2"/>
      <c r="H272" s="2"/>
      <c r="I272" s="2"/>
      <c r="J272" s="2"/>
      <c r="K272" s="2"/>
      <c r="L272" s="2"/>
    </row>
    <row r="273" spans="7:12">
      <c r="G273" s="2"/>
      <c r="H273" s="2"/>
      <c r="I273" s="2"/>
      <c r="J273" s="2"/>
      <c r="K273" s="2"/>
      <c r="L273" s="2"/>
    </row>
    <row r="274" spans="7:12">
      <c r="G274" s="2"/>
      <c r="H274" s="2"/>
      <c r="I274" s="2"/>
      <c r="J274" s="2"/>
      <c r="K274" s="2"/>
      <c r="L274" s="2"/>
    </row>
    <row r="275" spans="7:12">
      <c r="G275" s="2"/>
      <c r="H275" s="2"/>
      <c r="I275" s="2"/>
      <c r="J275" s="2"/>
      <c r="K275" s="2"/>
      <c r="L275" s="2"/>
    </row>
    <row r="276" spans="7:12">
      <c r="G276" s="2"/>
      <c r="H276" s="2"/>
      <c r="I276" s="2"/>
      <c r="J276" s="2"/>
      <c r="K276" s="2"/>
      <c r="L276" s="2"/>
    </row>
    <row r="277" spans="7:12">
      <c r="G277" s="2"/>
      <c r="H277" s="2"/>
      <c r="I277" s="2"/>
      <c r="J277" s="2"/>
      <c r="K277" s="2"/>
      <c r="L277" s="2"/>
    </row>
    <row r="278" spans="7:12">
      <c r="G278" s="2"/>
      <c r="H278" s="2"/>
      <c r="I278" s="2"/>
      <c r="J278" s="2"/>
      <c r="K278" s="2"/>
      <c r="L278" s="2"/>
    </row>
    <row r="279" spans="7:12">
      <c r="G279" s="2"/>
      <c r="H279" s="2"/>
      <c r="I279" s="2"/>
      <c r="J279" s="2"/>
      <c r="K279" s="2"/>
      <c r="L279" s="2"/>
    </row>
    <row r="280" spans="7:12">
      <c r="G280" s="2"/>
      <c r="H280" s="2"/>
      <c r="I280" s="2"/>
      <c r="J280" s="2"/>
      <c r="K280" s="2"/>
      <c r="L280" s="2"/>
    </row>
    <row r="281" spans="7:12">
      <c r="G281" s="2"/>
      <c r="H281" s="2"/>
      <c r="I281" s="2"/>
      <c r="J281" s="2"/>
      <c r="K281" s="2"/>
      <c r="L281" s="2"/>
    </row>
    <row r="282" spans="7:12">
      <c r="G282" s="2"/>
      <c r="H282" s="2"/>
      <c r="I282" s="2"/>
      <c r="J282" s="2"/>
      <c r="K282" s="2"/>
      <c r="L282" s="2"/>
    </row>
    <row r="283" spans="7:12">
      <c r="G283" s="2"/>
      <c r="H283" s="2"/>
      <c r="I283" s="2"/>
      <c r="J283" s="2"/>
      <c r="K283" s="2"/>
      <c r="L283" s="2"/>
    </row>
    <row r="284" spans="7:12">
      <c r="G284" s="2"/>
      <c r="H284" s="2"/>
      <c r="I284" s="2"/>
      <c r="J284" s="2"/>
      <c r="K284" s="2"/>
      <c r="L284" s="2"/>
    </row>
    <row r="285" spans="7:12">
      <c r="G285" s="2"/>
      <c r="H285" s="2"/>
      <c r="I285" s="2"/>
      <c r="J285" s="2"/>
      <c r="K285" s="2"/>
      <c r="L285" s="2"/>
    </row>
    <row r="286" spans="7:12">
      <c r="G286" s="2"/>
      <c r="H286" s="2"/>
      <c r="I286" s="2"/>
      <c r="J286" s="2"/>
      <c r="K286" s="2"/>
      <c r="L286" s="2"/>
    </row>
    <row r="287" spans="7:12">
      <c r="G287" s="2"/>
      <c r="H287" s="2"/>
      <c r="I287" s="2"/>
      <c r="J287" s="2"/>
      <c r="K287" s="2"/>
      <c r="L287" s="2"/>
    </row>
    <row r="288" spans="7:12">
      <c r="G288" s="2"/>
      <c r="H288" s="2"/>
      <c r="I288" s="2"/>
      <c r="J288" s="2"/>
      <c r="K288" s="2"/>
      <c r="L288" s="2"/>
    </row>
    <row r="289" spans="7:12">
      <c r="G289" s="2"/>
      <c r="H289" s="2"/>
      <c r="I289" s="2"/>
      <c r="J289" s="2"/>
      <c r="K289" s="2"/>
      <c r="L289" s="2"/>
    </row>
    <row r="290" spans="7:12">
      <c r="G290" s="2"/>
      <c r="H290" s="2"/>
      <c r="I290" s="2"/>
      <c r="J290" s="2"/>
      <c r="K290" s="2"/>
      <c r="L290" s="2"/>
    </row>
    <row r="291" spans="7:12">
      <c r="G291" s="2"/>
      <c r="H291" s="2"/>
      <c r="I291" s="2"/>
      <c r="J291" s="2"/>
      <c r="K291" s="2"/>
      <c r="L291" s="2"/>
    </row>
    <row r="292" spans="7:12">
      <c r="G292" s="2"/>
      <c r="H292" s="2"/>
      <c r="I292" s="2"/>
      <c r="J292" s="2"/>
      <c r="K292" s="2"/>
      <c r="L292" s="2"/>
    </row>
    <row r="293" spans="7:12">
      <c r="G293" s="2"/>
      <c r="H293" s="2"/>
      <c r="I293" s="2"/>
      <c r="J293" s="2"/>
      <c r="K293" s="2"/>
      <c r="L293" s="2"/>
    </row>
    <row r="294" spans="7:12">
      <c r="G294" s="2"/>
      <c r="H294" s="2"/>
      <c r="I294" s="2"/>
      <c r="J294" s="2"/>
      <c r="K294" s="2"/>
      <c r="L294" s="2"/>
    </row>
    <row r="295" spans="7:12">
      <c r="G295" s="2"/>
      <c r="H295" s="2"/>
      <c r="I295" s="2"/>
      <c r="J295" s="2"/>
      <c r="K295" s="2"/>
      <c r="L295" s="2"/>
    </row>
    <row r="296" spans="7:12">
      <c r="G296" s="2"/>
      <c r="H296" s="2"/>
      <c r="I296" s="2"/>
      <c r="J296" s="2"/>
      <c r="K296" s="2"/>
      <c r="L296" s="2"/>
    </row>
    <row r="297" spans="7:12">
      <c r="G297" s="2"/>
      <c r="H297" s="2"/>
      <c r="I297" s="2"/>
      <c r="J297" s="2"/>
      <c r="K297" s="2"/>
      <c r="L297" s="2"/>
    </row>
    <row r="298" spans="7:12">
      <c r="G298" s="2"/>
      <c r="H298" s="2"/>
      <c r="I298" s="2"/>
      <c r="J298" s="2"/>
      <c r="K298" s="2"/>
      <c r="L298" s="2"/>
    </row>
    <row r="299" spans="7:12">
      <c r="G299" s="2"/>
      <c r="H299" s="2"/>
      <c r="I299" s="2"/>
      <c r="J299" s="2"/>
      <c r="K299" s="2"/>
      <c r="L299" s="2"/>
    </row>
    <row r="300" spans="7:12">
      <c r="G300" s="2"/>
      <c r="H300" s="2"/>
      <c r="I300" s="2"/>
      <c r="J300" s="2"/>
      <c r="K300" s="2"/>
      <c r="L300" s="2"/>
    </row>
    <row r="301" spans="7:12">
      <c r="G301" s="2"/>
      <c r="H301" s="2"/>
      <c r="I301" s="2"/>
      <c r="J301" s="2"/>
      <c r="K301" s="2"/>
      <c r="L301" s="2"/>
    </row>
    <row r="302" spans="7:12">
      <c r="G302" s="2"/>
      <c r="H302" s="2"/>
      <c r="I302" s="2"/>
      <c r="J302" s="2"/>
      <c r="K302" s="2"/>
      <c r="L302" s="2"/>
    </row>
    <row r="303" spans="7:12">
      <c r="G303" s="2"/>
      <c r="H303" s="2"/>
      <c r="I303" s="2"/>
      <c r="J303" s="2"/>
      <c r="K303" s="2"/>
      <c r="L303" s="2"/>
    </row>
    <row r="304" spans="7:12">
      <c r="G304" s="2"/>
      <c r="H304" s="2"/>
      <c r="I304" s="2"/>
      <c r="J304" s="2"/>
      <c r="K304" s="2"/>
      <c r="L304" s="2"/>
    </row>
    <row r="305" spans="7:12">
      <c r="G305" s="2"/>
      <c r="H305" s="2"/>
      <c r="I305" s="2"/>
      <c r="J305" s="2"/>
      <c r="K305" s="2"/>
      <c r="L305" s="2"/>
    </row>
    <row r="306" spans="7:12">
      <c r="G306" s="2"/>
      <c r="H306" s="2"/>
      <c r="I306" s="2"/>
      <c r="J306" s="2"/>
      <c r="K306" s="2"/>
      <c r="L306" s="2"/>
    </row>
    <row r="307" spans="7:12">
      <c r="G307" s="2"/>
      <c r="H307" s="2"/>
      <c r="I307" s="2"/>
      <c r="J307" s="2"/>
      <c r="K307" s="2"/>
      <c r="L307" s="2"/>
    </row>
    <row r="308" spans="7:12">
      <c r="G308" s="2"/>
      <c r="H308" s="2"/>
      <c r="I308" s="2"/>
      <c r="J308" s="2"/>
      <c r="K308" s="2"/>
      <c r="L308" s="2"/>
    </row>
    <row r="309" spans="7:12">
      <c r="G309" s="2"/>
      <c r="H309" s="2"/>
      <c r="I309" s="2"/>
      <c r="J309" s="2"/>
      <c r="K309" s="2"/>
      <c r="L309" s="2"/>
    </row>
    <row r="310" spans="7:12">
      <c r="G310" s="2"/>
      <c r="H310" s="2"/>
      <c r="I310" s="2"/>
      <c r="J310" s="2"/>
      <c r="K310" s="2"/>
      <c r="L310" s="2"/>
    </row>
    <row r="311" spans="7:12">
      <c r="G311" s="2"/>
      <c r="H311" s="2"/>
      <c r="I311" s="2"/>
      <c r="J311" s="2"/>
      <c r="K311" s="2"/>
      <c r="L311" s="2"/>
    </row>
    <row r="312" spans="7:12">
      <c r="G312" s="2"/>
      <c r="H312" s="2"/>
      <c r="I312" s="2"/>
      <c r="J312" s="2"/>
      <c r="K312" s="2"/>
      <c r="L312" s="2"/>
    </row>
    <row r="313" spans="7:12">
      <c r="G313" s="2"/>
      <c r="H313" s="2"/>
      <c r="I313" s="2"/>
      <c r="J313" s="2"/>
      <c r="K313" s="2"/>
      <c r="L313" s="2"/>
    </row>
    <row r="314" spans="7:12">
      <c r="G314" s="2"/>
      <c r="H314" s="2"/>
      <c r="I314" s="2"/>
      <c r="J314" s="2"/>
      <c r="K314" s="2"/>
      <c r="L314" s="2"/>
    </row>
    <row r="315" spans="7:12">
      <c r="G315" s="2"/>
      <c r="H315" s="2"/>
      <c r="I315" s="2"/>
      <c r="J315" s="2"/>
      <c r="K315" s="2"/>
      <c r="L315" s="2"/>
    </row>
    <row r="316" spans="7:12">
      <c r="G316" s="2"/>
      <c r="H316" s="2"/>
      <c r="I316" s="2"/>
      <c r="J316" s="2"/>
      <c r="K316" s="2"/>
      <c r="L316" s="2"/>
    </row>
    <row r="317" spans="7:12">
      <c r="G317" s="2"/>
      <c r="H317" s="2"/>
      <c r="I317" s="2"/>
      <c r="J317" s="2"/>
      <c r="K317" s="2"/>
      <c r="L317" s="2"/>
    </row>
    <row r="318" spans="7:12">
      <c r="G318" s="2"/>
      <c r="H318" s="2"/>
      <c r="I318" s="2"/>
      <c r="J318" s="2"/>
      <c r="K318" s="2"/>
      <c r="L318" s="2"/>
    </row>
    <row r="319" spans="7:12">
      <c r="G319" s="2"/>
      <c r="H319" s="2"/>
      <c r="I319" s="2"/>
      <c r="J319" s="2"/>
      <c r="K319" s="2"/>
      <c r="L319" s="2"/>
    </row>
    <row r="320" spans="7:12">
      <c r="G320" s="2"/>
      <c r="H320" s="2"/>
      <c r="I320" s="2"/>
      <c r="J320" s="2"/>
      <c r="K320" s="2"/>
      <c r="L320" s="2"/>
    </row>
    <row r="321" spans="7:12">
      <c r="G321" s="2"/>
      <c r="H321" s="2"/>
      <c r="I321" s="2"/>
      <c r="J321" s="2"/>
      <c r="K321" s="2"/>
      <c r="L321" s="2"/>
    </row>
    <row r="322" spans="7:12">
      <c r="G322" s="2"/>
      <c r="H322" s="2"/>
      <c r="I322" s="2"/>
      <c r="J322" s="2"/>
      <c r="K322" s="2"/>
      <c r="L322" s="2"/>
    </row>
    <row r="323" spans="7:12">
      <c r="G323" s="2"/>
      <c r="H323" s="2"/>
      <c r="I323" s="2"/>
      <c r="J323" s="2"/>
      <c r="K323" s="2"/>
      <c r="L323" s="2"/>
    </row>
    <row r="324" spans="7:12">
      <c r="G324" s="2"/>
      <c r="H324" s="2"/>
      <c r="I324" s="2"/>
      <c r="J324" s="2"/>
      <c r="K324" s="2"/>
      <c r="L324" s="2"/>
    </row>
    <row r="325" spans="7:12">
      <c r="G325" s="2"/>
      <c r="H325" s="2"/>
      <c r="I325" s="2"/>
      <c r="J325" s="2"/>
      <c r="K325" s="2"/>
      <c r="L325" s="2"/>
    </row>
    <row r="326" spans="7:12">
      <c r="G326" s="2"/>
      <c r="H326" s="2"/>
      <c r="I326" s="2"/>
      <c r="J326" s="2"/>
      <c r="K326" s="2"/>
      <c r="L326" s="2"/>
    </row>
    <row r="327" spans="7:12">
      <c r="G327" s="2"/>
      <c r="H327" s="2"/>
      <c r="I327" s="2"/>
      <c r="J327" s="2"/>
      <c r="K327" s="2"/>
      <c r="L327" s="2"/>
    </row>
    <row r="328" spans="7:12">
      <c r="G328" s="2"/>
      <c r="H328" s="2"/>
      <c r="I328" s="2"/>
      <c r="J328" s="2"/>
      <c r="K328" s="2"/>
      <c r="L328" s="2"/>
    </row>
    <row r="329" spans="7:12">
      <c r="G329" s="2"/>
      <c r="H329" s="2"/>
      <c r="I329" s="2"/>
      <c r="J329" s="2"/>
      <c r="K329" s="2"/>
      <c r="L329" s="2"/>
    </row>
    <row r="330" spans="7:12">
      <c r="G330" s="2"/>
      <c r="H330" s="2"/>
      <c r="I330" s="2"/>
      <c r="J330" s="2"/>
      <c r="K330" s="2"/>
      <c r="L330" s="2"/>
    </row>
    <row r="331" spans="7:12">
      <c r="G331" s="2"/>
      <c r="H331" s="2"/>
      <c r="I331" s="2"/>
      <c r="J331" s="2"/>
      <c r="K331" s="2"/>
      <c r="L331" s="2"/>
    </row>
    <row r="332" spans="7:12">
      <c r="G332" s="2"/>
      <c r="H332" s="2"/>
      <c r="I332" s="2"/>
      <c r="J332" s="2"/>
      <c r="K332" s="2"/>
      <c r="L332" s="2"/>
    </row>
    <row r="333" spans="7:12">
      <c r="G333" s="2"/>
      <c r="H333" s="2"/>
      <c r="I333" s="2"/>
      <c r="J333" s="2"/>
      <c r="K333" s="2"/>
      <c r="L333" s="2"/>
    </row>
    <row r="334" spans="7:12">
      <c r="G334" s="2"/>
      <c r="H334" s="2"/>
      <c r="I334" s="2"/>
      <c r="J334" s="2"/>
      <c r="K334" s="2"/>
      <c r="L334" s="2"/>
    </row>
    <row r="335" spans="7:12">
      <c r="G335" s="2"/>
      <c r="H335" s="2"/>
      <c r="I335" s="2"/>
      <c r="J335" s="2"/>
      <c r="K335" s="2"/>
      <c r="L335" s="2"/>
    </row>
    <row r="336" spans="7:12">
      <c r="G336" s="2"/>
      <c r="H336" s="2"/>
      <c r="I336" s="2"/>
      <c r="J336" s="2"/>
      <c r="K336" s="2"/>
      <c r="L336" s="2"/>
    </row>
    <row r="337" spans="7:12">
      <c r="G337" s="2"/>
      <c r="H337" s="2"/>
      <c r="I337" s="2"/>
      <c r="J337" s="2"/>
      <c r="K337" s="2"/>
      <c r="L337" s="2"/>
    </row>
    <row r="338" spans="7:12">
      <c r="G338" s="2"/>
      <c r="H338" s="2"/>
      <c r="I338" s="2"/>
      <c r="J338" s="2"/>
      <c r="K338" s="2"/>
      <c r="L338" s="2"/>
    </row>
    <row r="339" spans="7:12">
      <c r="G339" s="2"/>
      <c r="H339" s="2"/>
      <c r="I339" s="2"/>
      <c r="J339" s="2"/>
      <c r="K339" s="2"/>
      <c r="L339" s="2"/>
    </row>
    <row r="340" spans="7:12">
      <c r="G340" s="2"/>
      <c r="H340" s="2"/>
      <c r="I340" s="2"/>
      <c r="J340" s="2"/>
      <c r="K340" s="2"/>
      <c r="L340" s="2"/>
    </row>
    <row r="341" spans="7:12">
      <c r="G341" s="2"/>
      <c r="H341" s="2"/>
      <c r="I341" s="2"/>
      <c r="J341" s="2"/>
      <c r="K341" s="2"/>
      <c r="L341" s="2"/>
    </row>
    <row r="342" spans="7:12">
      <c r="G342" s="2"/>
      <c r="H342" s="2"/>
      <c r="I342" s="2"/>
      <c r="J342" s="2"/>
      <c r="K342" s="2"/>
      <c r="L342" s="2"/>
    </row>
    <row r="343" spans="7:12">
      <c r="G343" s="2"/>
      <c r="H343" s="2"/>
      <c r="I343" s="2"/>
      <c r="J343" s="2"/>
      <c r="K343" s="2"/>
      <c r="L343" s="2"/>
    </row>
    <row r="344" spans="7:12">
      <c r="G344" s="2"/>
      <c r="H344" s="2"/>
      <c r="I344" s="2"/>
      <c r="J344" s="2"/>
      <c r="K344" s="2"/>
      <c r="L344" s="2"/>
    </row>
    <row r="345" spans="7:12">
      <c r="G345" s="2"/>
      <c r="H345" s="2"/>
      <c r="I345" s="2"/>
      <c r="J345" s="2"/>
      <c r="K345" s="2"/>
      <c r="L345" s="2"/>
    </row>
    <row r="346" spans="7:12">
      <c r="G346" s="2"/>
      <c r="H346" s="2"/>
      <c r="I346" s="2"/>
      <c r="J346" s="2"/>
      <c r="K346" s="2"/>
      <c r="L346" s="2"/>
    </row>
    <row r="347" spans="7:12">
      <c r="G347" s="2"/>
      <c r="H347" s="2"/>
      <c r="I347" s="2"/>
      <c r="J347" s="2"/>
      <c r="K347" s="2"/>
      <c r="L347" s="2"/>
    </row>
    <row r="348" spans="7:12">
      <c r="G348" s="2"/>
      <c r="H348" s="2"/>
      <c r="I348" s="2"/>
      <c r="J348" s="2"/>
      <c r="K348" s="2"/>
      <c r="L348" s="2"/>
    </row>
    <row r="349" spans="7:12">
      <c r="G349" s="2"/>
      <c r="H349" s="2"/>
      <c r="I349" s="2"/>
      <c r="J349" s="2"/>
      <c r="K349" s="2"/>
      <c r="L349" s="2"/>
    </row>
    <row r="350" spans="7:12">
      <c r="G350" s="2"/>
      <c r="H350" s="2"/>
      <c r="I350" s="2"/>
      <c r="J350" s="2"/>
      <c r="K350" s="2"/>
      <c r="L350" s="2"/>
    </row>
    <row r="351" spans="7:12">
      <c r="G351" s="2"/>
      <c r="H351" s="2"/>
      <c r="I351" s="2"/>
      <c r="J351" s="2"/>
      <c r="K351" s="2"/>
      <c r="L351" s="2"/>
    </row>
    <row r="352" spans="7:12">
      <c r="G352" s="2"/>
      <c r="H352" s="2"/>
      <c r="I352" s="2"/>
      <c r="J352" s="2"/>
      <c r="K352" s="2"/>
      <c r="L352" s="2"/>
    </row>
    <row r="353" spans="7:12">
      <c r="G353" s="2"/>
      <c r="H353" s="2"/>
      <c r="I353" s="2"/>
      <c r="J353" s="2"/>
      <c r="K353" s="2"/>
      <c r="L353" s="2"/>
    </row>
    <row r="354" spans="7:12">
      <c r="G354" s="2"/>
      <c r="H354" s="2"/>
      <c r="I354" s="2"/>
      <c r="J354" s="2"/>
      <c r="K354" s="2"/>
      <c r="L354" s="2"/>
    </row>
    <row r="355" spans="7:12">
      <c r="G355" s="2"/>
      <c r="H355" s="2"/>
      <c r="I355" s="2"/>
      <c r="J355" s="2"/>
      <c r="K355" s="2"/>
      <c r="L355" s="2"/>
    </row>
    <row r="356" spans="7:12">
      <c r="G356" s="2"/>
      <c r="H356" s="2"/>
      <c r="I356" s="2"/>
      <c r="J356" s="2"/>
      <c r="K356" s="2"/>
      <c r="L356" s="2"/>
    </row>
    <row r="357" spans="7:12">
      <c r="G357" s="2"/>
      <c r="H357" s="2"/>
      <c r="I357" s="2"/>
      <c r="J357" s="2"/>
      <c r="K357" s="2"/>
      <c r="L357" s="2"/>
    </row>
    <row r="358" spans="7:12">
      <c r="G358" s="2"/>
      <c r="H358" s="2"/>
      <c r="I358" s="2"/>
      <c r="J358" s="2"/>
      <c r="K358" s="2"/>
      <c r="L358" s="2"/>
    </row>
    <row r="359" spans="7:12">
      <c r="G359" s="2"/>
      <c r="H359" s="2"/>
      <c r="I359" s="2"/>
      <c r="J359" s="2"/>
      <c r="K359" s="2"/>
      <c r="L359" s="2"/>
    </row>
    <row r="360" spans="7:12">
      <c r="G360" s="2"/>
      <c r="H360" s="2"/>
      <c r="I360" s="2"/>
      <c r="J360" s="2"/>
      <c r="K360" s="2"/>
      <c r="L360" s="2"/>
    </row>
    <row r="361" spans="7:12">
      <c r="G361" s="2"/>
      <c r="H361" s="2"/>
      <c r="I361" s="2"/>
      <c r="J361" s="2"/>
      <c r="K361" s="2"/>
      <c r="L361" s="2"/>
    </row>
    <row r="362" spans="7:12">
      <c r="G362" s="2"/>
      <c r="H362" s="2"/>
      <c r="I362" s="2"/>
      <c r="J362" s="2"/>
      <c r="K362" s="2"/>
      <c r="L362" s="2"/>
    </row>
    <row r="363" spans="7:12">
      <c r="G363" s="2"/>
      <c r="H363" s="2"/>
      <c r="I363" s="2"/>
      <c r="J363" s="2"/>
      <c r="K363" s="2"/>
      <c r="L363" s="2"/>
    </row>
    <row r="364" spans="7:12">
      <c r="G364" s="2"/>
      <c r="H364" s="2"/>
      <c r="I364" s="2"/>
      <c r="J364" s="2"/>
      <c r="K364" s="2"/>
      <c r="L364" s="2"/>
    </row>
    <row r="365" spans="7:12">
      <c r="G365" s="2"/>
      <c r="H365" s="2"/>
      <c r="I365" s="2"/>
      <c r="J365" s="2"/>
      <c r="K365" s="2"/>
      <c r="L365" s="2"/>
    </row>
    <row r="366" spans="7:12">
      <c r="G366" s="2"/>
      <c r="H366" s="2"/>
      <c r="I366" s="2"/>
      <c r="J366" s="2"/>
      <c r="K366" s="2"/>
      <c r="L366" s="2"/>
    </row>
    <row r="367" spans="7:12">
      <c r="G367" s="2"/>
      <c r="H367" s="2"/>
      <c r="I367" s="2"/>
      <c r="J367" s="2"/>
      <c r="K367" s="2"/>
      <c r="L367" s="2"/>
    </row>
    <row r="368" spans="7:12">
      <c r="G368" s="2"/>
      <c r="H368" s="2"/>
      <c r="I368" s="2"/>
      <c r="J368" s="2"/>
      <c r="K368" s="2"/>
      <c r="L368" s="2"/>
    </row>
    <row r="369" spans="7:12">
      <c r="G369" s="2"/>
      <c r="H369" s="2"/>
      <c r="I369" s="2"/>
      <c r="J369" s="2"/>
      <c r="K369" s="2"/>
      <c r="L369" s="2"/>
    </row>
    <row r="370" spans="7:12">
      <c r="G370" s="2"/>
      <c r="H370" s="2"/>
      <c r="I370" s="2"/>
      <c r="J370" s="2"/>
      <c r="K370" s="2"/>
      <c r="L370" s="2"/>
    </row>
    <row r="371" spans="7:12">
      <c r="G371" s="2"/>
      <c r="H371" s="2"/>
      <c r="I371" s="2"/>
      <c r="J371" s="2"/>
      <c r="K371" s="2"/>
      <c r="L371" s="2"/>
    </row>
    <row r="372" spans="7:12">
      <c r="G372" s="2"/>
      <c r="H372" s="2"/>
      <c r="I372" s="2"/>
      <c r="J372" s="2"/>
      <c r="K372" s="2"/>
      <c r="L372" s="2"/>
    </row>
    <row r="373" spans="7:12">
      <c r="G373" s="2"/>
      <c r="H373" s="2"/>
      <c r="I373" s="2"/>
      <c r="J373" s="2"/>
      <c r="K373" s="2"/>
      <c r="L373" s="2"/>
    </row>
    <row r="374" spans="7:12">
      <c r="G374" s="2"/>
      <c r="H374" s="2"/>
      <c r="I374" s="2"/>
      <c r="J374" s="2"/>
      <c r="K374" s="2"/>
      <c r="L374" s="2"/>
    </row>
    <row r="375" spans="7:12">
      <c r="G375" s="2"/>
      <c r="H375" s="2"/>
      <c r="I375" s="2"/>
      <c r="J375" s="2"/>
      <c r="K375" s="2"/>
      <c r="L375" s="2"/>
    </row>
    <row r="376" spans="7:12">
      <c r="G376" s="2"/>
      <c r="H376" s="2"/>
      <c r="I376" s="2"/>
      <c r="J376" s="2"/>
      <c r="K376" s="2"/>
      <c r="L376" s="2"/>
    </row>
    <row r="377" spans="7:12">
      <c r="G377" s="2"/>
      <c r="H377" s="2"/>
      <c r="I377" s="2"/>
      <c r="J377" s="2"/>
      <c r="K377" s="2"/>
      <c r="L377" s="2"/>
    </row>
    <row r="378" spans="7:12">
      <c r="G378" s="2"/>
      <c r="H378" s="2"/>
      <c r="I378" s="2"/>
      <c r="J378" s="2"/>
      <c r="K378" s="2"/>
      <c r="L378" s="2"/>
    </row>
    <row r="379" spans="7:12">
      <c r="G379" s="2"/>
      <c r="H379" s="2"/>
      <c r="I379" s="2"/>
      <c r="J379" s="2"/>
      <c r="K379" s="2"/>
      <c r="L379" s="2"/>
    </row>
    <row r="380" spans="7:12">
      <c r="G380" s="2"/>
      <c r="H380" s="2"/>
      <c r="I380" s="2"/>
      <c r="J380" s="2"/>
      <c r="K380" s="2"/>
      <c r="L380" s="2"/>
    </row>
    <row r="381" spans="7:12">
      <c r="G381" s="2"/>
      <c r="H381" s="2"/>
      <c r="I381" s="2"/>
      <c r="J381" s="2"/>
      <c r="K381" s="2"/>
      <c r="L381" s="2"/>
    </row>
    <row r="382" spans="7:12">
      <c r="G382" s="2"/>
      <c r="H382" s="2"/>
      <c r="I382" s="2"/>
      <c r="J382" s="2"/>
      <c r="K382" s="2"/>
      <c r="L382" s="2"/>
    </row>
    <row r="383" spans="7:12">
      <c r="G383" s="2"/>
      <c r="H383" s="2"/>
      <c r="I383" s="2"/>
      <c r="J383" s="2"/>
      <c r="K383" s="2"/>
      <c r="L383" s="2"/>
    </row>
    <row r="384" spans="7:12">
      <c r="G384" s="2"/>
      <c r="H384" s="2"/>
      <c r="I384" s="2"/>
      <c r="J384" s="2"/>
      <c r="K384" s="2"/>
      <c r="L384" s="2"/>
    </row>
    <row r="385" spans="7:12">
      <c r="G385" s="2"/>
      <c r="H385" s="2"/>
      <c r="I385" s="2"/>
      <c r="J385" s="2"/>
      <c r="K385" s="2"/>
      <c r="L385" s="2"/>
    </row>
    <row r="386" spans="7:12">
      <c r="G386" s="2"/>
      <c r="H386" s="2"/>
      <c r="I386" s="2"/>
      <c r="J386" s="2"/>
      <c r="K386" s="2"/>
      <c r="L386" s="2"/>
    </row>
    <row r="387" spans="7:12">
      <c r="G387" s="2"/>
      <c r="H387" s="2"/>
      <c r="I387" s="2"/>
      <c r="J387" s="2"/>
      <c r="K387" s="2"/>
      <c r="L387" s="2"/>
    </row>
    <row r="388" spans="7:12">
      <c r="G388" s="2"/>
      <c r="H388" s="2"/>
      <c r="I388" s="2"/>
      <c r="J388" s="2"/>
      <c r="K388" s="2"/>
      <c r="L388" s="2"/>
    </row>
    <row r="389" spans="7:12">
      <c r="G389" s="2"/>
      <c r="H389" s="2"/>
      <c r="I389" s="2"/>
      <c r="J389" s="2"/>
      <c r="K389" s="2"/>
      <c r="L389" s="2"/>
    </row>
    <row r="390" spans="7:12">
      <c r="G390" s="2"/>
      <c r="H390" s="2"/>
      <c r="I390" s="2"/>
      <c r="J390" s="2"/>
      <c r="K390" s="2"/>
      <c r="L390" s="2"/>
    </row>
    <row r="391" spans="7:12">
      <c r="G391" s="2"/>
      <c r="H391" s="2"/>
      <c r="I391" s="2"/>
      <c r="J391" s="2"/>
      <c r="K391" s="2"/>
      <c r="L391" s="2"/>
    </row>
    <row r="392" spans="7:12">
      <c r="G392" s="2"/>
      <c r="H392" s="2"/>
      <c r="I392" s="2"/>
      <c r="J392" s="2"/>
      <c r="K392" s="2"/>
      <c r="L392" s="2"/>
    </row>
    <row r="393" spans="7:12">
      <c r="G393" s="2"/>
      <c r="H393" s="2"/>
      <c r="I393" s="2"/>
      <c r="J393" s="2"/>
      <c r="K393" s="2"/>
      <c r="L393" s="2"/>
    </row>
    <row r="394" spans="7:12">
      <c r="G394" s="2"/>
      <c r="H394" s="2"/>
      <c r="I394" s="2"/>
      <c r="J394" s="2"/>
      <c r="K394" s="2"/>
      <c r="L394" s="2"/>
    </row>
    <row r="395" spans="7:12">
      <c r="G395" s="2"/>
      <c r="H395" s="2"/>
      <c r="I395" s="2"/>
      <c r="J395" s="2"/>
      <c r="K395" s="2"/>
      <c r="L395" s="2"/>
    </row>
    <row r="396" spans="7:12">
      <c r="G396" s="2"/>
      <c r="H396" s="2"/>
      <c r="I396" s="2"/>
      <c r="J396" s="2"/>
      <c r="K396" s="2"/>
      <c r="L396" s="2"/>
    </row>
    <row r="397" spans="7:12">
      <c r="G397" s="2"/>
      <c r="H397" s="2"/>
      <c r="I397" s="2"/>
      <c r="J397" s="2"/>
      <c r="K397" s="2"/>
      <c r="L397" s="2"/>
    </row>
    <row r="398" spans="7:12">
      <c r="G398" s="2"/>
      <c r="H398" s="2"/>
      <c r="I398" s="2"/>
      <c r="J398" s="2"/>
      <c r="K398" s="2"/>
      <c r="L398" s="2"/>
    </row>
    <row r="399" spans="7:12">
      <c r="G399" s="2"/>
      <c r="H399" s="2"/>
      <c r="I399" s="2"/>
      <c r="J399" s="2"/>
      <c r="K399" s="2"/>
      <c r="L399" s="2"/>
    </row>
    <row r="400" spans="7:12">
      <c r="G400" s="2"/>
      <c r="H400" s="2"/>
      <c r="I400" s="2"/>
      <c r="J400" s="2"/>
      <c r="K400" s="2"/>
      <c r="L400" s="2"/>
    </row>
    <row r="401" spans="7:12">
      <c r="G401" s="2"/>
      <c r="H401" s="2"/>
      <c r="I401" s="2"/>
      <c r="J401" s="2"/>
      <c r="K401" s="2"/>
      <c r="L401" s="2"/>
    </row>
    <row r="402" spans="7:12">
      <c r="G402" s="2"/>
      <c r="H402" s="2"/>
      <c r="I402" s="2"/>
      <c r="J402" s="2"/>
      <c r="K402" s="2"/>
      <c r="L402" s="2"/>
    </row>
    <row r="403" spans="7:12">
      <c r="G403" s="2"/>
      <c r="H403" s="2"/>
      <c r="I403" s="2"/>
      <c r="J403" s="2"/>
      <c r="K403" s="2"/>
      <c r="L403" s="2"/>
    </row>
    <row r="404" spans="7:12">
      <c r="G404" s="2"/>
      <c r="H404" s="2"/>
      <c r="I404" s="2"/>
      <c r="J404" s="2"/>
      <c r="K404" s="2"/>
      <c r="L404" s="2"/>
    </row>
    <row r="405" spans="7:12">
      <c r="G405" s="2"/>
      <c r="H405" s="2"/>
      <c r="I405" s="2"/>
      <c r="J405" s="2"/>
      <c r="K405" s="2"/>
      <c r="L405" s="2"/>
    </row>
    <row r="406" spans="7:12">
      <c r="G406" s="2"/>
      <c r="H406" s="2"/>
      <c r="I406" s="2"/>
      <c r="J406" s="2"/>
      <c r="K406" s="2"/>
      <c r="L406" s="2"/>
    </row>
    <row r="407" spans="7:12">
      <c r="G407" s="2"/>
      <c r="H407" s="2"/>
      <c r="I407" s="2"/>
      <c r="J407" s="2"/>
      <c r="K407" s="2"/>
      <c r="L407" s="2"/>
    </row>
    <row r="408" spans="7:12">
      <c r="G408" s="2"/>
      <c r="H408" s="2"/>
      <c r="I408" s="2"/>
      <c r="J408" s="2"/>
      <c r="K408" s="2"/>
      <c r="L408" s="2"/>
    </row>
    <row r="409" spans="7:12">
      <c r="G409" s="2"/>
      <c r="H409" s="2"/>
      <c r="I409" s="2"/>
      <c r="J409" s="2"/>
      <c r="K409" s="2"/>
      <c r="L409" s="2"/>
    </row>
    <row r="410" spans="7:12">
      <c r="G410" s="2"/>
      <c r="H410" s="2"/>
      <c r="I410" s="2"/>
      <c r="J410" s="2"/>
      <c r="K410" s="2"/>
      <c r="L410" s="2"/>
    </row>
    <row r="411" spans="7:12">
      <c r="G411" s="2"/>
      <c r="H411" s="2"/>
      <c r="I411" s="2"/>
      <c r="J411" s="2"/>
      <c r="K411" s="2"/>
      <c r="L411" s="2"/>
    </row>
    <row r="412" spans="7:12">
      <c r="G412" s="2"/>
      <c r="H412" s="2"/>
      <c r="I412" s="2"/>
      <c r="J412" s="2"/>
      <c r="K412" s="2"/>
      <c r="L412" s="2"/>
    </row>
    <row r="413" spans="7:12">
      <c r="G413" s="2"/>
      <c r="H413" s="2"/>
      <c r="I413" s="2"/>
      <c r="J413" s="2"/>
      <c r="K413" s="2"/>
      <c r="L413" s="2"/>
    </row>
    <row r="414" spans="7:12">
      <c r="G414" s="2"/>
      <c r="H414" s="2"/>
      <c r="I414" s="2"/>
      <c r="J414" s="2"/>
      <c r="K414" s="2"/>
      <c r="L414" s="2"/>
    </row>
    <row r="415" spans="7:12">
      <c r="G415" s="2"/>
      <c r="H415" s="2"/>
      <c r="I415" s="2"/>
      <c r="J415" s="2"/>
      <c r="K415" s="2"/>
      <c r="L415" s="2"/>
    </row>
    <row r="416" spans="7:12">
      <c r="G416" s="2"/>
      <c r="H416" s="2"/>
      <c r="I416" s="2"/>
      <c r="J416" s="2"/>
      <c r="K416" s="2"/>
      <c r="L416" s="2"/>
    </row>
    <row r="417" spans="7:12">
      <c r="G417" s="2"/>
      <c r="H417" s="2"/>
      <c r="I417" s="2"/>
      <c r="J417" s="2"/>
      <c r="K417" s="2"/>
      <c r="L417" s="2"/>
    </row>
    <row r="418" spans="7:12">
      <c r="G418" s="2"/>
      <c r="H418" s="2"/>
      <c r="I418" s="2"/>
      <c r="J418" s="2"/>
      <c r="K418" s="2"/>
      <c r="L418" s="2"/>
    </row>
    <row r="419" spans="7:12">
      <c r="G419" s="2"/>
      <c r="H419" s="2"/>
      <c r="I419" s="2"/>
      <c r="J419" s="2"/>
      <c r="K419" s="2"/>
      <c r="L419" s="2"/>
    </row>
    <row r="420" spans="7:12">
      <c r="G420" s="2"/>
      <c r="H420" s="2"/>
      <c r="I420" s="2"/>
      <c r="J420" s="2"/>
      <c r="K420" s="2"/>
      <c r="L420" s="2"/>
    </row>
    <row r="421" spans="7:12">
      <c r="G421" s="2"/>
      <c r="H421" s="2"/>
      <c r="I421" s="2"/>
      <c r="J421" s="2"/>
      <c r="K421" s="2"/>
      <c r="L421" s="2"/>
    </row>
    <row r="422" spans="7:12">
      <c r="G422" s="2"/>
      <c r="H422" s="2"/>
      <c r="I422" s="2"/>
      <c r="J422" s="2"/>
      <c r="K422" s="2"/>
      <c r="L422" s="2"/>
    </row>
    <row r="423" spans="7:12">
      <c r="G423" s="2"/>
      <c r="H423" s="2"/>
      <c r="I423" s="2"/>
      <c r="J423" s="2"/>
      <c r="K423" s="2"/>
      <c r="L423" s="2"/>
    </row>
    <row r="424" spans="7:12">
      <c r="G424" s="2"/>
      <c r="H424" s="2"/>
      <c r="I424" s="2"/>
      <c r="J424" s="2"/>
      <c r="K424" s="2"/>
      <c r="L424" s="2"/>
    </row>
    <row r="425" spans="7:12">
      <c r="G425" s="2"/>
      <c r="H425" s="2"/>
      <c r="I425" s="2"/>
      <c r="J425" s="2"/>
      <c r="K425" s="2"/>
      <c r="L425" s="2"/>
    </row>
    <row r="426" spans="7:12">
      <c r="G426" s="2"/>
      <c r="H426" s="2"/>
      <c r="I426" s="2"/>
      <c r="J426" s="2"/>
      <c r="K426" s="2"/>
      <c r="L426" s="2"/>
    </row>
    <row r="427" spans="7:12">
      <c r="G427" s="2"/>
      <c r="H427" s="2"/>
      <c r="I427" s="2"/>
      <c r="J427" s="2"/>
      <c r="K427" s="2"/>
      <c r="L427" s="2"/>
    </row>
    <row r="428" spans="7:12">
      <c r="G428" s="2"/>
      <c r="H428" s="2"/>
      <c r="I428" s="2"/>
      <c r="J428" s="2"/>
      <c r="K428" s="2"/>
      <c r="L428" s="2"/>
    </row>
    <row r="429" spans="7:12">
      <c r="G429" s="2"/>
      <c r="H429" s="2"/>
      <c r="I429" s="2"/>
      <c r="J429" s="2"/>
      <c r="K429" s="2"/>
      <c r="L429" s="2"/>
    </row>
    <row r="430" spans="7:12">
      <c r="G430" s="2"/>
      <c r="H430" s="2"/>
      <c r="I430" s="2"/>
      <c r="J430" s="2"/>
      <c r="K430" s="2"/>
      <c r="L430" s="2"/>
    </row>
    <row r="431" spans="7:12">
      <c r="G431" s="2"/>
      <c r="H431" s="2"/>
      <c r="I431" s="2"/>
      <c r="J431" s="2"/>
      <c r="K431" s="2"/>
      <c r="L431" s="2"/>
    </row>
    <row r="432" spans="7:12">
      <c r="G432" s="2"/>
      <c r="H432" s="2"/>
      <c r="I432" s="2"/>
      <c r="J432" s="2"/>
      <c r="K432" s="2"/>
      <c r="L432" s="2"/>
    </row>
    <row r="433" spans="7:12">
      <c r="G433" s="2"/>
      <c r="H433" s="2"/>
      <c r="I433" s="2"/>
      <c r="J433" s="2"/>
      <c r="K433" s="2"/>
      <c r="L433" s="2"/>
    </row>
    <row r="434" spans="7:12">
      <c r="G434" s="2"/>
      <c r="H434" s="2"/>
      <c r="I434" s="2"/>
      <c r="J434" s="2"/>
      <c r="K434" s="2"/>
      <c r="L434" s="2"/>
    </row>
    <row r="435" spans="7:12">
      <c r="G435" s="2"/>
      <c r="H435" s="2"/>
      <c r="I435" s="2"/>
      <c r="J435" s="2"/>
      <c r="K435" s="2"/>
      <c r="L435" s="2"/>
    </row>
    <row r="436" spans="7:12">
      <c r="G436" s="2"/>
      <c r="H436" s="2"/>
      <c r="I436" s="2"/>
      <c r="J436" s="2"/>
      <c r="K436" s="2"/>
      <c r="L436" s="2"/>
    </row>
    <row r="437" spans="7:12">
      <c r="G437" s="2"/>
      <c r="H437" s="2"/>
      <c r="I437" s="2"/>
      <c r="J437" s="2"/>
      <c r="K437" s="2"/>
      <c r="L437" s="2"/>
    </row>
    <row r="438" spans="7:12">
      <c r="G438" s="2"/>
      <c r="H438" s="2"/>
      <c r="I438" s="2"/>
      <c r="J438" s="2"/>
      <c r="K438" s="2"/>
      <c r="L438" s="2"/>
    </row>
    <row r="439" spans="7:12">
      <c r="G439" s="2"/>
      <c r="H439" s="2"/>
      <c r="I439" s="2"/>
      <c r="J439" s="2"/>
      <c r="K439" s="2"/>
      <c r="L439" s="2"/>
    </row>
    <row r="440" spans="7:12">
      <c r="G440" s="2"/>
      <c r="H440" s="2"/>
      <c r="I440" s="2"/>
      <c r="J440" s="2"/>
      <c r="K440" s="2"/>
      <c r="L440" s="2"/>
    </row>
    <row r="441" spans="7:12">
      <c r="G441" s="2"/>
      <c r="H441" s="2"/>
      <c r="I441" s="2"/>
      <c r="J441" s="2"/>
      <c r="K441" s="2"/>
      <c r="L441" s="2"/>
    </row>
    <row r="442" spans="7:12">
      <c r="G442" s="2"/>
      <c r="H442" s="2"/>
      <c r="I442" s="2"/>
      <c r="J442" s="2"/>
      <c r="K442" s="2"/>
      <c r="L442" s="2"/>
    </row>
    <row r="443" spans="7:12">
      <c r="G443" s="2"/>
      <c r="H443" s="2"/>
      <c r="I443" s="2"/>
      <c r="J443" s="2"/>
      <c r="K443" s="2"/>
      <c r="L443" s="2"/>
    </row>
    <row r="444" spans="7:12">
      <c r="G444" s="2"/>
      <c r="H444" s="2"/>
      <c r="I444" s="2"/>
      <c r="J444" s="2"/>
      <c r="K444" s="2"/>
      <c r="L444" s="2"/>
    </row>
    <row r="445" spans="7:12">
      <c r="G445" s="2"/>
      <c r="H445" s="2"/>
      <c r="I445" s="2"/>
      <c r="J445" s="2"/>
      <c r="K445" s="2"/>
      <c r="L445" s="2"/>
    </row>
    <row r="446" spans="7:12">
      <c r="G446" s="2"/>
      <c r="H446" s="2"/>
      <c r="I446" s="2"/>
      <c r="J446" s="2"/>
      <c r="K446" s="2"/>
      <c r="L446" s="2"/>
    </row>
    <row r="447" spans="7:12">
      <c r="G447" s="2"/>
      <c r="H447" s="2"/>
      <c r="I447" s="2"/>
      <c r="J447" s="2"/>
      <c r="K447" s="2"/>
      <c r="L447" s="2"/>
    </row>
    <row r="448" spans="7:12">
      <c r="G448" s="2"/>
      <c r="H448" s="2"/>
      <c r="I448" s="2"/>
      <c r="J448" s="2"/>
      <c r="K448" s="2"/>
      <c r="L448" s="2"/>
    </row>
    <row r="449" spans="7:12">
      <c r="G449" s="2"/>
      <c r="H449" s="2"/>
      <c r="I449" s="2"/>
      <c r="J449" s="2"/>
      <c r="K449" s="2"/>
      <c r="L449" s="2"/>
    </row>
    <row r="450" spans="7:12">
      <c r="G450" s="2"/>
      <c r="H450" s="2"/>
      <c r="I450" s="2"/>
      <c r="J450" s="2"/>
      <c r="K450" s="2"/>
      <c r="L450" s="2"/>
    </row>
    <row r="451" spans="7:12">
      <c r="G451" s="2"/>
      <c r="H451" s="2"/>
      <c r="I451" s="2"/>
      <c r="J451" s="2"/>
      <c r="K451" s="2"/>
      <c r="L451" s="2"/>
    </row>
    <row r="452" spans="7:12">
      <c r="G452" s="2"/>
      <c r="H452" s="2"/>
      <c r="I452" s="2"/>
      <c r="J452" s="2"/>
      <c r="K452" s="2"/>
      <c r="L452" s="2"/>
    </row>
    <row r="453" spans="7:12">
      <c r="G453" s="2"/>
      <c r="H453" s="2"/>
      <c r="I453" s="2"/>
      <c r="J453" s="2"/>
      <c r="K453" s="2"/>
      <c r="L453" s="2"/>
    </row>
    <row r="454" spans="7:12">
      <c r="G454" s="2"/>
      <c r="H454" s="2"/>
      <c r="I454" s="2"/>
      <c r="J454" s="2"/>
      <c r="K454" s="2"/>
      <c r="L454" s="2"/>
    </row>
    <row r="455" spans="7:12">
      <c r="G455" s="2"/>
      <c r="H455" s="2"/>
      <c r="I455" s="2"/>
      <c r="J455" s="2"/>
      <c r="K455" s="2"/>
      <c r="L455" s="2"/>
    </row>
    <row r="456" spans="7:12">
      <c r="G456" s="2"/>
      <c r="H456" s="2"/>
      <c r="I456" s="2"/>
      <c r="J456" s="2"/>
      <c r="K456" s="2"/>
      <c r="L456" s="2"/>
    </row>
    <row r="457" spans="7:12">
      <c r="G457" s="2"/>
      <c r="H457" s="2"/>
      <c r="I457" s="2"/>
      <c r="J457" s="2"/>
      <c r="K457" s="2"/>
      <c r="L457" s="2"/>
    </row>
    <row r="458" spans="7:12">
      <c r="G458" s="2"/>
      <c r="H458" s="2"/>
      <c r="I458" s="2"/>
      <c r="J458" s="2"/>
      <c r="K458" s="2"/>
      <c r="L458" s="2"/>
    </row>
    <row r="459" spans="7:12">
      <c r="G459" s="2"/>
      <c r="H459" s="2"/>
      <c r="I459" s="2"/>
      <c r="J459" s="2"/>
      <c r="K459" s="2"/>
      <c r="L459" s="2"/>
    </row>
    <row r="460" spans="7:12">
      <c r="G460" s="2"/>
      <c r="H460" s="2"/>
      <c r="I460" s="2"/>
      <c r="J460" s="2"/>
      <c r="K460" s="2"/>
      <c r="L460" s="2"/>
    </row>
    <row r="461" spans="7:12">
      <c r="G461" s="2"/>
      <c r="H461" s="2"/>
      <c r="I461" s="2"/>
      <c r="J461" s="2"/>
      <c r="K461" s="2"/>
      <c r="L461" s="2"/>
    </row>
    <row r="462" spans="7:12">
      <c r="G462" s="2"/>
      <c r="H462" s="2"/>
      <c r="I462" s="2"/>
      <c r="J462" s="2"/>
      <c r="K462" s="2"/>
      <c r="L462" s="2"/>
    </row>
    <row r="463" spans="7:12">
      <c r="G463" s="2"/>
      <c r="H463" s="2"/>
      <c r="I463" s="2"/>
      <c r="J463" s="2"/>
      <c r="K463" s="2"/>
      <c r="L463" s="2"/>
    </row>
    <row r="464" spans="7:12">
      <c r="G464" s="2"/>
      <c r="H464" s="2"/>
      <c r="I464" s="2"/>
      <c r="J464" s="2"/>
      <c r="K464" s="2"/>
      <c r="L464" s="2"/>
    </row>
    <row r="465" spans="7:12">
      <c r="G465" s="2"/>
      <c r="H465" s="2"/>
      <c r="I465" s="2"/>
      <c r="J465" s="2"/>
      <c r="K465" s="2"/>
      <c r="L465" s="2"/>
    </row>
    <row r="466" spans="7:12">
      <c r="G466" s="2"/>
      <c r="H466" s="2"/>
      <c r="I466" s="2"/>
      <c r="J466" s="2"/>
      <c r="K466" s="2"/>
      <c r="L466" s="2"/>
    </row>
    <row r="467" spans="7:12">
      <c r="G467" s="2"/>
      <c r="H467" s="2"/>
      <c r="I467" s="2"/>
      <c r="J467" s="2"/>
      <c r="K467" s="2"/>
      <c r="L467" s="2"/>
    </row>
    <row r="468" spans="7:12">
      <c r="G468" s="2"/>
      <c r="H468" s="2"/>
      <c r="I468" s="2"/>
      <c r="J468" s="2"/>
      <c r="K468" s="2"/>
      <c r="L468" s="2"/>
    </row>
    <row r="469" spans="7:12">
      <c r="G469" s="2"/>
      <c r="H469" s="2"/>
      <c r="I469" s="2"/>
      <c r="J469" s="2"/>
      <c r="K469" s="2"/>
      <c r="L469" s="2"/>
    </row>
    <row r="470" spans="7:12">
      <c r="G470" s="2"/>
      <c r="H470" s="2"/>
      <c r="I470" s="2"/>
      <c r="J470" s="2"/>
      <c r="K470" s="2"/>
      <c r="L470" s="2"/>
    </row>
    <row r="471" spans="7:12">
      <c r="G471" s="2"/>
      <c r="H471" s="2"/>
      <c r="I471" s="2"/>
      <c r="J471" s="2"/>
      <c r="K471" s="2"/>
      <c r="L471" s="2"/>
    </row>
    <row r="472" spans="7:12">
      <c r="G472" s="2"/>
      <c r="H472" s="2"/>
      <c r="I472" s="2"/>
      <c r="J472" s="2"/>
      <c r="K472" s="2"/>
      <c r="L472" s="2"/>
    </row>
    <row r="473" spans="7:12">
      <c r="G473" s="2"/>
      <c r="H473" s="2"/>
      <c r="I473" s="2"/>
      <c r="J473" s="2"/>
      <c r="K473" s="2"/>
      <c r="L473" s="2"/>
    </row>
    <row r="474" spans="7:12">
      <c r="G474" s="2"/>
      <c r="H474" s="2"/>
      <c r="I474" s="2"/>
      <c r="J474" s="2"/>
      <c r="K474" s="2"/>
      <c r="L474" s="2"/>
    </row>
    <row r="475" spans="7:12">
      <c r="G475" s="2"/>
      <c r="H475" s="2"/>
      <c r="I475" s="2"/>
      <c r="J475" s="2"/>
      <c r="K475" s="2"/>
      <c r="L475" s="2"/>
    </row>
    <row r="476" spans="7:12">
      <c r="G476" s="2"/>
      <c r="H476" s="2"/>
      <c r="I476" s="2"/>
      <c r="J476" s="2"/>
      <c r="K476" s="2"/>
      <c r="L476" s="2"/>
    </row>
    <row r="477" spans="7:12">
      <c r="G477" s="2"/>
      <c r="H477" s="2"/>
      <c r="I477" s="2"/>
      <c r="J477" s="2"/>
      <c r="K477" s="2"/>
      <c r="L477" s="2"/>
    </row>
    <row r="478" spans="7:12">
      <c r="G478" s="2"/>
      <c r="H478" s="2"/>
      <c r="I478" s="2"/>
      <c r="J478" s="2"/>
      <c r="K478" s="2"/>
      <c r="L478" s="2"/>
    </row>
    <row r="479" spans="7:12">
      <c r="G479" s="2"/>
      <c r="H479" s="2"/>
      <c r="I479" s="2"/>
      <c r="J479" s="2"/>
      <c r="K479" s="2"/>
      <c r="L479" s="2"/>
    </row>
    <row r="480" spans="7:12">
      <c r="G480" s="2"/>
      <c r="H480" s="2"/>
      <c r="I480" s="2"/>
      <c r="J480" s="2"/>
      <c r="K480" s="2"/>
      <c r="L480" s="2"/>
    </row>
    <row r="481" spans="7:12">
      <c r="G481" s="2"/>
      <c r="H481" s="2"/>
      <c r="I481" s="2"/>
      <c r="J481" s="2"/>
      <c r="K481" s="2"/>
      <c r="L481" s="2"/>
    </row>
    <row r="482" spans="7:12">
      <c r="G482" s="2"/>
      <c r="H482" s="2"/>
      <c r="I482" s="2"/>
      <c r="J482" s="2"/>
      <c r="K482" s="2"/>
      <c r="L482" s="2"/>
    </row>
    <row r="483" spans="7:12">
      <c r="G483" s="2"/>
      <c r="H483" s="2"/>
      <c r="I483" s="2"/>
      <c r="J483" s="2"/>
      <c r="K483" s="2"/>
      <c r="L483" s="2"/>
    </row>
    <row r="484" spans="7:12">
      <c r="G484" s="2"/>
      <c r="H484" s="2"/>
      <c r="I484" s="2"/>
      <c r="J484" s="2"/>
      <c r="K484" s="2"/>
      <c r="L484" s="2"/>
    </row>
    <row r="485" spans="7:12">
      <c r="G485" s="2"/>
      <c r="H485" s="2"/>
      <c r="I485" s="2"/>
      <c r="J485" s="2"/>
      <c r="K485" s="2"/>
      <c r="L485" s="2"/>
    </row>
    <row r="486" spans="7:12">
      <c r="G486" s="2"/>
      <c r="H486" s="2"/>
      <c r="I486" s="2"/>
      <c r="J486" s="2"/>
      <c r="K486" s="2"/>
      <c r="L486" s="2"/>
    </row>
    <row r="487" spans="7:12">
      <c r="G487" s="2"/>
      <c r="H487" s="2"/>
      <c r="I487" s="2"/>
      <c r="J487" s="2"/>
      <c r="K487" s="2"/>
      <c r="L487" s="2"/>
    </row>
    <row r="488" spans="7:12">
      <c r="G488" s="2"/>
      <c r="H488" s="2"/>
      <c r="I488" s="2"/>
      <c r="J488" s="2"/>
      <c r="K488" s="2"/>
      <c r="L488" s="2"/>
    </row>
    <row r="489" spans="7:12">
      <c r="G489" s="2"/>
      <c r="H489" s="2"/>
      <c r="I489" s="2"/>
      <c r="J489" s="2"/>
      <c r="K489" s="2"/>
      <c r="L489" s="2"/>
    </row>
    <row r="490" spans="7:12">
      <c r="G490" s="2"/>
      <c r="H490" s="2"/>
      <c r="I490" s="2"/>
      <c r="J490" s="2"/>
      <c r="K490" s="2"/>
      <c r="L490" s="2"/>
    </row>
    <row r="491" spans="7:12">
      <c r="G491" s="2"/>
      <c r="H491" s="2"/>
      <c r="I491" s="2"/>
      <c r="J491" s="2"/>
      <c r="K491" s="2"/>
      <c r="L491" s="2"/>
    </row>
    <row r="492" spans="7:12">
      <c r="G492" s="2"/>
      <c r="H492" s="2"/>
      <c r="I492" s="2"/>
      <c r="J492" s="2"/>
      <c r="K492" s="2"/>
      <c r="L492" s="2"/>
    </row>
    <row r="493" spans="7:12">
      <c r="G493" s="2"/>
      <c r="H493" s="2"/>
      <c r="I493" s="2"/>
      <c r="J493" s="2"/>
      <c r="K493" s="2"/>
      <c r="L493" s="2"/>
    </row>
    <row r="494" spans="7:12">
      <c r="G494" s="2"/>
      <c r="H494" s="2"/>
      <c r="I494" s="2"/>
      <c r="J494" s="2"/>
      <c r="K494" s="2"/>
      <c r="L494" s="2"/>
    </row>
    <row r="495" spans="7:12">
      <c r="G495" s="2"/>
      <c r="H495" s="2"/>
      <c r="I495" s="2"/>
      <c r="J495" s="2"/>
      <c r="K495" s="2"/>
      <c r="L495" s="2"/>
    </row>
    <row r="496" spans="7:12">
      <c r="G496" s="2"/>
      <c r="H496" s="2"/>
      <c r="I496" s="2"/>
      <c r="J496" s="2"/>
      <c r="K496" s="2"/>
      <c r="L496" s="2"/>
    </row>
    <row r="497" spans="7:12">
      <c r="G497" s="2"/>
      <c r="H497" s="2"/>
      <c r="I497" s="2"/>
      <c r="J497" s="2"/>
      <c r="K497" s="2"/>
      <c r="L497" s="2"/>
    </row>
    <row r="498" spans="7:12">
      <c r="G498" s="2"/>
      <c r="H498" s="2"/>
      <c r="I498" s="2"/>
      <c r="J498" s="2"/>
      <c r="K498" s="2"/>
      <c r="L498" s="2"/>
    </row>
    <row r="499" spans="7:12">
      <c r="G499" s="2"/>
      <c r="H499" s="2"/>
      <c r="I499" s="2"/>
      <c r="J499" s="2"/>
      <c r="K499" s="2"/>
      <c r="L499" s="2"/>
    </row>
    <row r="500" spans="7:12">
      <c r="G500" s="2"/>
      <c r="H500" s="2"/>
      <c r="I500" s="2"/>
      <c r="J500" s="2"/>
      <c r="K500" s="2"/>
      <c r="L500" s="2"/>
    </row>
    <row r="501" spans="7:12">
      <c r="G501" s="2"/>
      <c r="H501" s="2"/>
      <c r="I501" s="2"/>
      <c r="J501" s="2"/>
      <c r="K501" s="2"/>
      <c r="L501" s="2"/>
    </row>
    <row r="502" spans="7:12">
      <c r="G502" s="2"/>
      <c r="H502" s="2"/>
      <c r="I502" s="2"/>
      <c r="J502" s="2"/>
      <c r="K502" s="2"/>
      <c r="L502" s="2"/>
    </row>
    <row r="503" spans="7:12">
      <c r="G503" s="2"/>
      <c r="H503" s="2"/>
      <c r="I503" s="2"/>
      <c r="J503" s="2"/>
      <c r="K503" s="2"/>
      <c r="L503" s="2"/>
    </row>
    <row r="504" spans="7:12">
      <c r="G504" s="2"/>
      <c r="H504" s="2"/>
      <c r="I504" s="2"/>
      <c r="J504" s="2"/>
      <c r="K504" s="2"/>
      <c r="L504" s="2"/>
    </row>
    <row r="505" spans="7:12">
      <c r="G505" s="2"/>
      <c r="H505" s="2"/>
      <c r="I505" s="2"/>
      <c r="J505" s="2"/>
      <c r="K505" s="2"/>
      <c r="L505" s="2"/>
    </row>
    <row r="506" spans="7:12">
      <c r="G506" s="2"/>
      <c r="H506" s="2"/>
      <c r="I506" s="2"/>
      <c r="J506" s="2"/>
      <c r="K506" s="2"/>
      <c r="L506" s="2"/>
    </row>
    <row r="507" spans="7:12">
      <c r="G507" s="2"/>
      <c r="H507" s="2"/>
      <c r="I507" s="2"/>
      <c r="J507" s="2"/>
      <c r="K507" s="2"/>
      <c r="L507" s="2"/>
    </row>
    <row r="508" spans="7:12">
      <c r="G508" s="2"/>
      <c r="H508" s="2"/>
      <c r="I508" s="2"/>
      <c r="J508" s="2"/>
      <c r="K508" s="2"/>
      <c r="L508" s="2"/>
    </row>
    <row r="509" spans="7:12">
      <c r="G509" s="2"/>
      <c r="H509" s="2"/>
      <c r="I509" s="2"/>
      <c r="J509" s="2"/>
      <c r="K509" s="2"/>
      <c r="L509" s="2"/>
    </row>
    <row r="510" spans="7:12">
      <c r="G510" s="2"/>
      <c r="H510" s="2"/>
      <c r="I510" s="2"/>
      <c r="J510" s="2"/>
      <c r="K510" s="2"/>
      <c r="L510" s="2"/>
    </row>
    <row r="511" spans="7:12">
      <c r="G511" s="2"/>
      <c r="H511" s="2"/>
      <c r="I511" s="2"/>
      <c r="J511" s="2"/>
      <c r="K511" s="2"/>
      <c r="L511" s="2"/>
    </row>
    <row r="512" spans="7:12">
      <c r="G512" s="2"/>
      <c r="H512" s="2"/>
      <c r="I512" s="2"/>
      <c r="J512" s="2"/>
      <c r="K512" s="2"/>
      <c r="L512" s="2"/>
    </row>
    <row r="513" spans="7:12">
      <c r="G513" s="2"/>
      <c r="H513" s="2"/>
      <c r="I513" s="2"/>
      <c r="J513" s="2"/>
      <c r="K513" s="2"/>
      <c r="L513" s="2"/>
    </row>
    <row r="514" spans="7:12">
      <c r="G514" s="2"/>
      <c r="H514" s="2"/>
      <c r="I514" s="2"/>
      <c r="J514" s="2"/>
      <c r="K514" s="2"/>
      <c r="L514" s="2"/>
    </row>
    <row r="515" spans="7:12">
      <c r="G515" s="2"/>
      <c r="H515" s="2"/>
      <c r="I515" s="2"/>
      <c r="J515" s="2"/>
      <c r="K515" s="2"/>
      <c r="L515" s="2"/>
    </row>
    <row r="516" spans="7:12">
      <c r="G516" s="2"/>
      <c r="H516" s="2"/>
      <c r="I516" s="2"/>
      <c r="J516" s="2"/>
      <c r="K516" s="2"/>
      <c r="L516" s="2"/>
    </row>
    <row r="517" spans="7:12">
      <c r="G517" s="2"/>
      <c r="H517" s="2"/>
      <c r="I517" s="2"/>
      <c r="J517" s="2"/>
      <c r="K517" s="2"/>
      <c r="L517" s="2"/>
    </row>
    <row r="518" spans="7:12">
      <c r="G518" s="2"/>
      <c r="H518" s="2"/>
      <c r="I518" s="2"/>
      <c r="J518" s="2"/>
      <c r="K518" s="2"/>
      <c r="L518" s="2"/>
    </row>
    <row r="519" spans="7:12">
      <c r="G519" s="2"/>
      <c r="H519" s="2"/>
      <c r="I519" s="2"/>
      <c r="J519" s="2"/>
      <c r="K519" s="2"/>
      <c r="L519" s="2"/>
    </row>
    <row r="520" spans="7:12">
      <c r="G520" s="2"/>
      <c r="H520" s="2"/>
      <c r="I520" s="2"/>
      <c r="J520" s="2"/>
      <c r="K520" s="2"/>
      <c r="L520" s="2"/>
    </row>
    <row r="521" spans="7:12">
      <c r="G521" s="2"/>
      <c r="H521" s="2"/>
      <c r="I521" s="2"/>
      <c r="J521" s="2"/>
      <c r="K521" s="2"/>
      <c r="L521" s="2"/>
    </row>
    <row r="522" spans="7:12">
      <c r="G522" s="2"/>
      <c r="H522" s="2"/>
      <c r="I522" s="2"/>
      <c r="J522" s="2"/>
      <c r="K522" s="2"/>
      <c r="L522" s="2"/>
    </row>
    <row r="523" spans="7:12">
      <c r="G523" s="2"/>
      <c r="H523" s="2"/>
      <c r="I523" s="2"/>
      <c r="J523" s="2"/>
      <c r="K523" s="2"/>
      <c r="L523" s="2"/>
    </row>
    <row r="524" spans="7:12">
      <c r="G524" s="2"/>
      <c r="H524" s="2"/>
      <c r="I524" s="2"/>
      <c r="J524" s="2"/>
      <c r="K524" s="2"/>
      <c r="L524" s="2"/>
    </row>
    <row r="525" spans="7:12">
      <c r="G525" s="2"/>
      <c r="H525" s="2"/>
      <c r="I525" s="2"/>
      <c r="J525" s="2"/>
      <c r="K525" s="2"/>
      <c r="L525" s="2"/>
    </row>
    <row r="526" spans="7:12">
      <c r="G526" s="2"/>
      <c r="H526" s="2"/>
      <c r="I526" s="2"/>
      <c r="J526" s="2"/>
      <c r="K526" s="2"/>
      <c r="L526" s="2"/>
    </row>
    <row r="527" spans="7:12">
      <c r="G527" s="2"/>
      <c r="H527" s="2"/>
      <c r="I527" s="2"/>
      <c r="J527" s="2"/>
      <c r="K527" s="2"/>
      <c r="L527" s="2"/>
    </row>
    <row r="528" spans="7:12">
      <c r="G528" s="2"/>
      <c r="H528" s="2"/>
      <c r="I528" s="2"/>
      <c r="J528" s="2"/>
      <c r="K528" s="2"/>
      <c r="L528" s="2"/>
    </row>
    <row r="529" spans="7:12">
      <c r="G529" s="2"/>
      <c r="H529" s="2"/>
      <c r="I529" s="2"/>
      <c r="J529" s="2"/>
      <c r="K529" s="2"/>
      <c r="L529" s="2"/>
    </row>
    <row r="530" spans="7:12">
      <c r="G530" s="2"/>
      <c r="H530" s="2"/>
      <c r="I530" s="2"/>
      <c r="J530" s="2"/>
      <c r="K530" s="2"/>
      <c r="L530" s="2"/>
    </row>
    <row r="531" spans="7:12">
      <c r="G531" s="2"/>
      <c r="H531" s="2"/>
      <c r="I531" s="2"/>
      <c r="J531" s="2"/>
      <c r="K531" s="2"/>
      <c r="L531" s="2"/>
    </row>
    <row r="532" spans="7:12">
      <c r="G532" s="2"/>
      <c r="H532" s="2"/>
      <c r="I532" s="2"/>
      <c r="J532" s="2"/>
      <c r="K532" s="2"/>
      <c r="L532" s="2"/>
    </row>
    <row r="533" spans="7:12">
      <c r="G533" s="2"/>
      <c r="H533" s="2"/>
      <c r="I533" s="2"/>
      <c r="J533" s="2"/>
      <c r="K533" s="2"/>
      <c r="L533" s="2"/>
    </row>
    <row r="534" spans="7:12">
      <c r="G534" s="2"/>
      <c r="H534" s="2"/>
      <c r="I534" s="2"/>
      <c r="J534" s="2"/>
      <c r="K534" s="2"/>
      <c r="L534" s="2"/>
    </row>
    <row r="535" spans="7:12">
      <c r="G535" s="2"/>
      <c r="H535" s="2"/>
      <c r="I535" s="2"/>
      <c r="J535" s="2"/>
      <c r="K535" s="2"/>
      <c r="L535" s="2"/>
    </row>
    <row r="536" spans="7:12">
      <c r="G536" s="2"/>
      <c r="H536" s="2"/>
      <c r="I536" s="2"/>
      <c r="J536" s="2"/>
      <c r="K536" s="2"/>
      <c r="L536" s="2"/>
    </row>
    <row r="537" spans="7:12">
      <c r="G537" s="2"/>
      <c r="H537" s="2"/>
      <c r="I537" s="2"/>
      <c r="J537" s="2"/>
      <c r="K537" s="2"/>
      <c r="L537" s="2"/>
    </row>
    <row r="538" spans="7:12">
      <c r="G538" s="2"/>
      <c r="H538" s="2"/>
      <c r="I538" s="2"/>
      <c r="J538" s="2"/>
      <c r="K538" s="2"/>
      <c r="L538" s="2"/>
    </row>
    <row r="539" spans="7:12">
      <c r="G539" s="2"/>
      <c r="H539" s="2"/>
      <c r="I539" s="2"/>
      <c r="J539" s="2"/>
      <c r="K539" s="2"/>
      <c r="L539" s="2"/>
    </row>
    <row r="540" spans="7:12">
      <c r="G540" s="2"/>
      <c r="H540" s="2"/>
      <c r="I540" s="2"/>
      <c r="J540" s="2"/>
      <c r="K540" s="2"/>
      <c r="L540" s="2"/>
    </row>
    <row r="541" spans="7:12">
      <c r="G541" s="2"/>
      <c r="H541" s="2"/>
      <c r="I541" s="2"/>
      <c r="J541" s="2"/>
      <c r="K541" s="2"/>
      <c r="L541" s="2"/>
    </row>
    <row r="542" spans="7:12">
      <c r="G542" s="2"/>
      <c r="H542" s="2"/>
      <c r="I542" s="2"/>
      <c r="J542" s="2"/>
      <c r="K542" s="2"/>
      <c r="L542" s="2"/>
    </row>
    <row r="543" spans="7:12">
      <c r="G543" s="2"/>
      <c r="H543" s="2"/>
      <c r="I543" s="2"/>
      <c r="J543" s="2"/>
      <c r="K543" s="2"/>
      <c r="L543" s="2"/>
    </row>
    <row r="544" spans="7:12">
      <c r="G544" s="2"/>
      <c r="H544" s="2"/>
      <c r="I544" s="2"/>
      <c r="J544" s="2"/>
      <c r="K544" s="2"/>
      <c r="L544" s="2"/>
    </row>
    <row r="545" spans="7:12">
      <c r="G545" s="2"/>
      <c r="H545" s="2"/>
      <c r="I545" s="2"/>
      <c r="J545" s="2"/>
      <c r="K545" s="2"/>
      <c r="L545" s="2"/>
    </row>
    <row r="546" spans="7:12">
      <c r="G546" s="2"/>
      <c r="H546" s="2"/>
      <c r="I546" s="2"/>
      <c r="J546" s="2"/>
      <c r="K546" s="2"/>
      <c r="L546" s="2"/>
    </row>
    <row r="547" spans="7:12">
      <c r="G547" s="2"/>
      <c r="H547" s="2"/>
      <c r="I547" s="2"/>
      <c r="J547" s="2"/>
      <c r="K547" s="2"/>
      <c r="L547" s="2"/>
    </row>
    <row r="548" spans="7:12">
      <c r="G548" s="2"/>
      <c r="H548" s="2"/>
      <c r="I548" s="2"/>
      <c r="J548" s="2"/>
      <c r="K548" s="2"/>
      <c r="L548" s="2"/>
    </row>
    <row r="549" spans="7:12">
      <c r="G549" s="2"/>
      <c r="H549" s="2"/>
      <c r="I549" s="2"/>
      <c r="J549" s="2"/>
      <c r="K549" s="2"/>
      <c r="L549" s="2"/>
    </row>
    <row r="550" spans="7:12">
      <c r="G550" s="2"/>
      <c r="H550" s="2"/>
      <c r="I550" s="2"/>
      <c r="J550" s="2"/>
      <c r="K550" s="2"/>
      <c r="L550" s="2"/>
    </row>
    <row r="551" spans="7:12">
      <c r="G551" s="2"/>
      <c r="H551" s="2"/>
      <c r="I551" s="2"/>
      <c r="J551" s="2"/>
      <c r="K551" s="2"/>
      <c r="L551" s="2"/>
    </row>
    <row r="552" spans="7:12">
      <c r="G552" s="2"/>
      <c r="H552" s="2"/>
      <c r="I552" s="2"/>
      <c r="J552" s="2"/>
      <c r="K552" s="2"/>
      <c r="L552" s="2"/>
    </row>
    <row r="553" spans="7:12">
      <c r="G553" s="2"/>
      <c r="H553" s="2"/>
      <c r="I553" s="2"/>
      <c r="J553" s="2"/>
      <c r="K553" s="2"/>
      <c r="L553" s="2"/>
    </row>
    <row r="554" spans="7:12">
      <c r="G554" s="2"/>
      <c r="H554" s="2"/>
      <c r="I554" s="2"/>
      <c r="J554" s="2"/>
      <c r="K554" s="2"/>
      <c r="L554" s="2"/>
    </row>
    <row r="555" spans="7:12">
      <c r="G555" s="2"/>
      <c r="H555" s="2"/>
      <c r="I555" s="2"/>
      <c r="J555" s="2"/>
      <c r="K555" s="2"/>
      <c r="L555" s="2"/>
    </row>
    <row r="556" spans="7:12">
      <c r="G556" s="2"/>
      <c r="H556" s="2"/>
      <c r="I556" s="2"/>
      <c r="J556" s="2"/>
      <c r="K556" s="2"/>
      <c r="L556" s="2"/>
    </row>
    <row r="557" spans="7:12">
      <c r="G557" s="2"/>
      <c r="H557" s="2"/>
      <c r="I557" s="2"/>
      <c r="J557" s="2"/>
      <c r="K557" s="2"/>
      <c r="L557" s="2"/>
    </row>
    <row r="558" spans="7:12">
      <c r="G558" s="2"/>
      <c r="H558" s="2"/>
      <c r="I558" s="2"/>
      <c r="J558" s="2"/>
      <c r="K558" s="2"/>
      <c r="L558" s="2"/>
    </row>
    <row r="559" spans="7:12">
      <c r="G559" s="2"/>
      <c r="H559" s="2"/>
      <c r="I559" s="2"/>
      <c r="J559" s="2"/>
      <c r="K559" s="2"/>
      <c r="L559" s="2"/>
    </row>
    <row r="560" spans="7:12">
      <c r="G560" s="2"/>
      <c r="H560" s="2"/>
      <c r="I560" s="2"/>
      <c r="J560" s="2"/>
      <c r="K560" s="2"/>
      <c r="L560" s="2"/>
    </row>
    <row r="561" spans="7:12">
      <c r="G561" s="2"/>
      <c r="H561" s="2"/>
      <c r="I561" s="2"/>
      <c r="J561" s="2"/>
      <c r="K561" s="2"/>
      <c r="L561" s="2"/>
    </row>
    <row r="562" spans="7:12">
      <c r="G562" s="2"/>
      <c r="H562" s="2"/>
      <c r="I562" s="2"/>
      <c r="J562" s="2"/>
      <c r="K562" s="2"/>
      <c r="L562" s="2"/>
    </row>
    <row r="563" spans="7:12">
      <c r="G563" s="2"/>
      <c r="H563" s="2"/>
      <c r="I563" s="2"/>
      <c r="J563" s="2"/>
      <c r="K563" s="2"/>
      <c r="L563" s="2"/>
    </row>
    <row r="564" spans="7:12">
      <c r="G564" s="2"/>
      <c r="H564" s="2"/>
      <c r="I564" s="2"/>
      <c r="J564" s="2"/>
      <c r="K564" s="2"/>
      <c r="L564" s="2"/>
    </row>
    <row r="565" spans="7:12">
      <c r="G565" s="2"/>
      <c r="H565" s="2"/>
      <c r="I565" s="2"/>
      <c r="J565" s="2"/>
      <c r="K565" s="2"/>
      <c r="L565" s="2"/>
    </row>
    <row r="566" spans="7:12">
      <c r="G566" s="2"/>
      <c r="H566" s="2"/>
      <c r="I566" s="2"/>
      <c r="J566" s="2"/>
      <c r="K566" s="2"/>
      <c r="L566" s="2"/>
    </row>
    <row r="567" spans="7:12">
      <c r="G567" s="2"/>
      <c r="H567" s="2"/>
      <c r="I567" s="2"/>
      <c r="J567" s="2"/>
      <c r="K567" s="2"/>
      <c r="L567" s="2"/>
    </row>
    <row r="568" spans="7:12">
      <c r="G568" s="2"/>
      <c r="H568" s="2"/>
      <c r="I568" s="2"/>
      <c r="J568" s="2"/>
      <c r="K568" s="2"/>
      <c r="L568" s="2"/>
    </row>
    <row r="569" spans="7:12">
      <c r="G569" s="2"/>
      <c r="H569" s="2"/>
      <c r="I569" s="2"/>
      <c r="J569" s="2"/>
      <c r="K569" s="2"/>
      <c r="L569" s="2"/>
    </row>
    <row r="570" spans="7:12">
      <c r="G570" s="2"/>
      <c r="H570" s="2"/>
      <c r="I570" s="2"/>
      <c r="J570" s="2"/>
      <c r="K570" s="2"/>
      <c r="L570" s="2"/>
    </row>
    <row r="571" spans="7:12">
      <c r="G571" s="2"/>
      <c r="H571" s="2"/>
      <c r="I571" s="2"/>
      <c r="J571" s="2"/>
      <c r="K571" s="2"/>
      <c r="L571" s="2"/>
    </row>
    <row r="572" spans="7:12">
      <c r="G572" s="2"/>
      <c r="H572" s="2"/>
      <c r="I572" s="2"/>
      <c r="J572" s="2"/>
      <c r="K572" s="2"/>
      <c r="L572" s="2"/>
    </row>
    <row r="573" spans="7:12">
      <c r="G573" s="2"/>
      <c r="H573" s="2"/>
      <c r="I573" s="2"/>
      <c r="J573" s="2"/>
      <c r="K573" s="2"/>
      <c r="L573" s="2"/>
    </row>
    <row r="574" spans="7:12">
      <c r="G574" s="2"/>
      <c r="H574" s="2"/>
      <c r="I574" s="2"/>
      <c r="J574" s="2"/>
      <c r="K574" s="2"/>
      <c r="L574" s="2"/>
    </row>
    <row r="575" spans="7:12">
      <c r="G575" s="2"/>
      <c r="H575" s="2"/>
      <c r="I575" s="2"/>
      <c r="J575" s="2"/>
      <c r="K575" s="2"/>
      <c r="L575" s="2"/>
    </row>
    <row r="576" spans="7:12">
      <c r="G576" s="2"/>
      <c r="H576" s="2"/>
      <c r="I576" s="2"/>
      <c r="J576" s="2"/>
      <c r="K576" s="2"/>
      <c r="L576" s="2"/>
    </row>
    <row r="577" spans="7:12">
      <c r="G577" s="2"/>
      <c r="H577" s="2"/>
      <c r="I577" s="2"/>
      <c r="J577" s="2"/>
      <c r="K577" s="2"/>
      <c r="L577" s="2"/>
    </row>
    <row r="578" spans="7:12">
      <c r="G578" s="2"/>
      <c r="H578" s="2"/>
      <c r="I578" s="2"/>
      <c r="J578" s="2"/>
      <c r="K578" s="2"/>
      <c r="L578" s="2"/>
    </row>
    <row r="579" spans="7:12">
      <c r="G579" s="2"/>
      <c r="H579" s="2"/>
      <c r="I579" s="2"/>
      <c r="J579" s="2"/>
      <c r="K579" s="2"/>
      <c r="L579" s="2"/>
    </row>
    <row r="580" spans="7:12">
      <c r="G580" s="2"/>
      <c r="H580" s="2"/>
      <c r="I580" s="2"/>
      <c r="J580" s="2"/>
      <c r="K580" s="2"/>
      <c r="L580" s="2"/>
    </row>
    <row r="581" spans="7:12">
      <c r="G581" s="2"/>
      <c r="H581" s="2"/>
      <c r="I581" s="2"/>
      <c r="J581" s="2"/>
      <c r="K581" s="2"/>
      <c r="L581" s="2"/>
    </row>
    <row r="582" spans="7:12">
      <c r="G582" s="2"/>
      <c r="H582" s="2"/>
      <c r="I582" s="2"/>
      <c r="J582" s="2"/>
      <c r="K582" s="2"/>
      <c r="L582" s="2"/>
    </row>
    <row r="583" spans="7:12">
      <c r="G583" s="2"/>
      <c r="H583" s="2"/>
      <c r="I583" s="2"/>
      <c r="J583" s="2"/>
      <c r="K583" s="2"/>
      <c r="L583" s="2"/>
    </row>
    <row r="584" spans="7:12">
      <c r="G584" s="2"/>
      <c r="H584" s="2"/>
      <c r="I584" s="2"/>
      <c r="J584" s="2"/>
      <c r="K584" s="2"/>
      <c r="L584" s="2"/>
    </row>
    <row r="585" spans="7:12">
      <c r="G585" s="2"/>
      <c r="H585" s="2"/>
      <c r="I585" s="2"/>
      <c r="J585" s="2"/>
      <c r="K585" s="2"/>
      <c r="L585" s="2"/>
    </row>
    <row r="586" spans="7:12">
      <c r="G586" s="2"/>
      <c r="H586" s="2"/>
      <c r="I586" s="2"/>
      <c r="J586" s="2"/>
      <c r="K586" s="2"/>
      <c r="L586" s="2"/>
    </row>
    <row r="587" spans="7:12">
      <c r="G587" s="2"/>
      <c r="H587" s="2"/>
      <c r="I587" s="2"/>
      <c r="J587" s="2"/>
      <c r="K587" s="2"/>
      <c r="L587" s="2"/>
    </row>
    <row r="588" spans="7:12">
      <c r="G588" s="2"/>
      <c r="H588" s="2"/>
      <c r="I588" s="2"/>
      <c r="J588" s="2"/>
      <c r="K588" s="2"/>
      <c r="L588" s="2"/>
    </row>
    <row r="589" spans="7:12">
      <c r="G589" s="2"/>
      <c r="H589" s="2"/>
      <c r="I589" s="2"/>
      <c r="J589" s="2"/>
      <c r="K589" s="2"/>
      <c r="L589" s="2"/>
    </row>
    <row r="590" spans="7:12">
      <c r="G590" s="2"/>
      <c r="H590" s="2"/>
      <c r="I590" s="2"/>
      <c r="J590" s="2"/>
      <c r="K590" s="2"/>
      <c r="L590" s="2"/>
    </row>
    <row r="591" spans="7:12">
      <c r="G591" s="2"/>
      <c r="H591" s="2"/>
      <c r="I591" s="2"/>
      <c r="J591" s="2"/>
      <c r="K591" s="2"/>
      <c r="L591" s="2"/>
    </row>
    <row r="592" spans="7:12">
      <c r="G592" s="2"/>
      <c r="H592" s="2"/>
      <c r="I592" s="2"/>
      <c r="J592" s="2"/>
      <c r="K592" s="2"/>
      <c r="L592" s="2"/>
    </row>
    <row r="593" spans="7:12">
      <c r="G593" s="2"/>
      <c r="H593" s="2"/>
      <c r="I593" s="2"/>
      <c r="J593" s="2"/>
      <c r="K593" s="2"/>
      <c r="L593" s="2"/>
    </row>
    <row r="594" spans="7:12">
      <c r="G594" s="2"/>
      <c r="H594" s="2"/>
      <c r="I594" s="2"/>
      <c r="J594" s="2"/>
      <c r="K594" s="2"/>
      <c r="L594" s="2"/>
    </row>
    <row r="595" spans="7:12">
      <c r="G595" s="2"/>
      <c r="H595" s="2"/>
      <c r="I595" s="2"/>
      <c r="J595" s="2"/>
      <c r="K595" s="2"/>
      <c r="L595" s="2"/>
    </row>
    <row r="596" spans="7:12">
      <c r="G596" s="2"/>
      <c r="H596" s="2"/>
      <c r="I596" s="2"/>
      <c r="J596" s="2"/>
      <c r="K596" s="2"/>
      <c r="L596" s="2"/>
    </row>
    <row r="597" spans="7:12">
      <c r="G597" s="2"/>
      <c r="H597" s="2"/>
      <c r="I597" s="2"/>
      <c r="J597" s="2"/>
      <c r="K597" s="2"/>
      <c r="L597" s="2"/>
    </row>
    <row r="598" spans="7:12">
      <c r="G598" s="2"/>
      <c r="H598" s="2"/>
      <c r="I598" s="2"/>
      <c r="J598" s="2"/>
      <c r="K598" s="2"/>
      <c r="L598" s="2"/>
    </row>
    <row r="599" spans="7:12">
      <c r="G599" s="2"/>
      <c r="H599" s="2"/>
      <c r="I599" s="2"/>
      <c r="J599" s="2"/>
      <c r="K599" s="2"/>
      <c r="L599" s="2"/>
    </row>
    <row r="600" spans="7:12">
      <c r="G600" s="2"/>
      <c r="H600" s="2"/>
      <c r="I600" s="2"/>
      <c r="J600" s="2"/>
      <c r="K600" s="2"/>
      <c r="L600" s="2"/>
    </row>
    <row r="601" spans="7:12">
      <c r="G601" s="2"/>
      <c r="H601" s="2"/>
      <c r="I601" s="2"/>
      <c r="J601" s="2"/>
      <c r="K601" s="2"/>
      <c r="L601" s="2"/>
    </row>
    <row r="602" spans="7:12">
      <c r="G602" s="2"/>
      <c r="H602" s="2"/>
      <c r="I602" s="2"/>
      <c r="J602" s="2"/>
      <c r="K602" s="2"/>
      <c r="L602" s="2"/>
    </row>
    <row r="603" spans="7:12">
      <c r="G603" s="2"/>
      <c r="H603" s="2"/>
      <c r="I603" s="2"/>
      <c r="J603" s="2"/>
      <c r="K603" s="2"/>
      <c r="L603" s="2"/>
    </row>
    <row r="604" spans="7:12">
      <c r="G604" s="2"/>
      <c r="H604" s="2"/>
      <c r="I604" s="2"/>
      <c r="J604" s="2"/>
      <c r="K604" s="2"/>
      <c r="L604" s="2"/>
    </row>
    <row r="605" spans="7:12">
      <c r="G605" s="2"/>
      <c r="H605" s="2"/>
      <c r="I605" s="2"/>
      <c r="J605" s="2"/>
      <c r="K605" s="2"/>
      <c r="L605" s="2"/>
    </row>
    <row r="606" spans="7:12">
      <c r="G606" s="2"/>
      <c r="H606" s="2"/>
      <c r="I606" s="2"/>
      <c r="J606" s="2"/>
      <c r="K606" s="2"/>
      <c r="L606" s="2"/>
    </row>
    <row r="607" spans="7:12">
      <c r="G607" s="2"/>
      <c r="H607" s="2"/>
      <c r="I607" s="2"/>
      <c r="J607" s="2"/>
      <c r="K607" s="2"/>
      <c r="L607" s="2"/>
    </row>
    <row r="608" spans="7:12">
      <c r="G608" s="2"/>
      <c r="H608" s="2"/>
      <c r="I608" s="2"/>
      <c r="J608" s="2"/>
      <c r="K608" s="2"/>
      <c r="L608" s="2"/>
    </row>
    <row r="609" spans="7:12">
      <c r="G609" s="2"/>
      <c r="H609" s="2"/>
      <c r="I609" s="2"/>
      <c r="J609" s="2"/>
      <c r="K609" s="2"/>
      <c r="L609" s="2"/>
    </row>
    <row r="610" spans="7:12">
      <c r="G610" s="2"/>
      <c r="H610" s="2"/>
      <c r="I610" s="2"/>
      <c r="J610" s="2"/>
      <c r="K610" s="2"/>
      <c r="L610" s="2"/>
    </row>
    <row r="611" spans="7:12">
      <c r="G611" s="2"/>
      <c r="H611" s="2"/>
      <c r="I611" s="2"/>
      <c r="J611" s="2"/>
      <c r="K611" s="2"/>
      <c r="L611" s="2"/>
    </row>
    <row r="612" spans="7:12">
      <c r="G612" s="2"/>
      <c r="H612" s="2"/>
      <c r="I612" s="2"/>
      <c r="J612" s="2"/>
      <c r="K612" s="2"/>
      <c r="L612" s="2"/>
    </row>
    <row r="613" spans="7:12">
      <c r="G613" s="2"/>
      <c r="H613" s="2"/>
      <c r="I613" s="2"/>
      <c r="J613" s="2"/>
      <c r="K613" s="2"/>
      <c r="L613" s="2"/>
    </row>
    <row r="614" spans="7:12">
      <c r="G614" s="2"/>
      <c r="H614" s="2"/>
      <c r="I614" s="2"/>
      <c r="J614" s="2"/>
      <c r="K614" s="2"/>
      <c r="L614" s="2"/>
    </row>
    <row r="615" spans="7:12">
      <c r="G615" s="2"/>
      <c r="H615" s="2"/>
      <c r="I615" s="2"/>
      <c r="J615" s="2"/>
      <c r="K615" s="2"/>
      <c r="L615" s="2"/>
    </row>
    <row r="616" spans="7:12">
      <c r="G616" s="2"/>
      <c r="H616" s="2"/>
      <c r="I616" s="2"/>
      <c r="J616" s="2"/>
      <c r="K616" s="2"/>
      <c r="L616" s="2"/>
    </row>
    <row r="617" spans="7:12">
      <c r="G617" s="2"/>
      <c r="H617" s="2"/>
      <c r="I617" s="2"/>
      <c r="J617" s="2"/>
      <c r="K617" s="2"/>
      <c r="L617" s="2"/>
    </row>
    <row r="618" spans="7:12">
      <c r="G618" s="2"/>
      <c r="H618" s="2"/>
      <c r="I618" s="2"/>
      <c r="J618" s="2"/>
      <c r="K618" s="2"/>
      <c r="L618" s="2"/>
    </row>
    <row r="619" spans="7:12">
      <c r="G619" s="2"/>
      <c r="H619" s="2"/>
      <c r="I619" s="2"/>
      <c r="J619" s="2"/>
      <c r="K619" s="2"/>
      <c r="L619" s="2"/>
    </row>
    <row r="620" spans="7:12">
      <c r="G620" s="2"/>
      <c r="H620" s="2"/>
      <c r="I620" s="2"/>
      <c r="J620" s="2"/>
      <c r="K620" s="2"/>
      <c r="L620" s="2"/>
    </row>
    <row r="621" spans="7:12">
      <c r="G621" s="2"/>
      <c r="H621" s="2"/>
      <c r="I621" s="2"/>
      <c r="J621" s="2"/>
      <c r="K621" s="2"/>
      <c r="L621" s="2"/>
    </row>
    <row r="622" spans="7:12">
      <c r="G622" s="2"/>
      <c r="H622" s="2"/>
      <c r="I622" s="2"/>
      <c r="J622" s="2"/>
      <c r="K622" s="2"/>
      <c r="L622" s="2"/>
    </row>
    <row r="623" spans="7:12">
      <c r="G623" s="2"/>
      <c r="H623" s="2"/>
      <c r="I623" s="2"/>
      <c r="J623" s="2"/>
      <c r="K623" s="2"/>
      <c r="L623" s="2"/>
    </row>
    <row r="624" spans="7:12">
      <c r="G624" s="2"/>
      <c r="H624" s="2"/>
      <c r="I624" s="2"/>
      <c r="J624" s="2"/>
      <c r="K624" s="2"/>
      <c r="L624" s="2"/>
    </row>
    <row r="625" spans="7:12">
      <c r="G625" s="2"/>
      <c r="H625" s="2"/>
      <c r="I625" s="2"/>
      <c r="J625" s="2"/>
      <c r="K625" s="2"/>
      <c r="L625" s="2"/>
    </row>
    <row r="626" spans="7:12">
      <c r="G626" s="2"/>
      <c r="H626" s="2"/>
      <c r="I626" s="2"/>
      <c r="J626" s="2"/>
      <c r="K626" s="2"/>
      <c r="L626" s="2"/>
    </row>
    <row r="627" spans="7:12">
      <c r="G627" s="2"/>
      <c r="H627" s="2"/>
      <c r="I627" s="2"/>
      <c r="J627" s="2"/>
      <c r="K627" s="2"/>
      <c r="L627" s="2"/>
    </row>
    <row r="628" spans="7:12">
      <c r="G628" s="2"/>
      <c r="H628" s="2"/>
      <c r="I628" s="2"/>
      <c r="J628" s="2"/>
      <c r="K628" s="2"/>
      <c r="L628" s="2"/>
    </row>
    <row r="629" spans="7:12">
      <c r="G629" s="2"/>
      <c r="H629" s="2"/>
      <c r="I629" s="2"/>
      <c r="J629" s="2"/>
      <c r="K629" s="2"/>
      <c r="L629" s="2"/>
    </row>
    <row r="630" spans="7:12">
      <c r="G630" s="2"/>
      <c r="H630" s="2"/>
      <c r="I630" s="2"/>
      <c r="J630" s="2"/>
      <c r="K630" s="2"/>
      <c r="L630" s="2"/>
    </row>
    <row r="631" spans="7:12">
      <c r="G631" s="2"/>
      <c r="H631" s="2"/>
      <c r="I631" s="2"/>
      <c r="J631" s="2"/>
      <c r="K631" s="2"/>
      <c r="L631" s="2"/>
    </row>
    <row r="632" spans="7:12">
      <c r="G632" s="2"/>
      <c r="H632" s="2"/>
      <c r="I632" s="2"/>
      <c r="J632" s="2"/>
      <c r="K632" s="2"/>
      <c r="L632" s="2"/>
    </row>
    <row r="633" spans="7:12">
      <c r="G633" s="2"/>
      <c r="H633" s="2"/>
      <c r="I633" s="2"/>
      <c r="J633" s="2"/>
      <c r="K633" s="2"/>
      <c r="L633" s="2"/>
    </row>
    <row r="634" spans="7:12">
      <c r="G634" s="2"/>
      <c r="H634" s="2"/>
      <c r="I634" s="2"/>
      <c r="J634" s="2"/>
      <c r="K634" s="2"/>
      <c r="L634" s="2"/>
    </row>
    <row r="635" spans="7:12">
      <c r="G635" s="2"/>
      <c r="H635" s="2"/>
      <c r="I635" s="2"/>
      <c r="J635" s="2"/>
      <c r="K635" s="2"/>
      <c r="L635" s="2"/>
    </row>
    <row r="636" spans="7:12">
      <c r="G636" s="2"/>
      <c r="H636" s="2"/>
      <c r="I636" s="2"/>
      <c r="J636" s="2"/>
      <c r="K636" s="2"/>
      <c r="L636" s="2"/>
    </row>
    <row r="637" spans="7:12">
      <c r="G637" s="2"/>
      <c r="H637" s="2"/>
      <c r="I637" s="2"/>
      <c r="J637" s="2"/>
      <c r="K637" s="2"/>
      <c r="L637" s="2"/>
    </row>
    <row r="638" spans="7:12">
      <c r="G638" s="2"/>
      <c r="H638" s="2"/>
      <c r="I638" s="2"/>
      <c r="J638" s="2"/>
      <c r="K638" s="2"/>
      <c r="L638" s="2"/>
    </row>
    <row r="639" spans="7:12">
      <c r="G639" s="2"/>
      <c r="H639" s="2"/>
      <c r="I639" s="2"/>
      <c r="J639" s="2"/>
      <c r="K639" s="2"/>
      <c r="L639" s="2"/>
    </row>
    <row r="640" spans="7:12">
      <c r="G640" s="2"/>
      <c r="H640" s="2"/>
      <c r="I640" s="2"/>
      <c r="J640" s="2"/>
      <c r="K640" s="2"/>
      <c r="L640" s="2"/>
    </row>
  </sheetData>
  <protectedRanges>
    <protectedRange password="CC52" sqref="F48:F54" name="Range1_4_2"/>
    <protectedRange password="CC52" sqref="F64" name="Range1_4_1_3_2"/>
    <protectedRange password="CC52" sqref="E48:E51" name="Range1_4_3"/>
    <protectedRange password="CC52" sqref="E64" name="Range1_4_1_3_3"/>
  </protectedRanges>
  <mergeCells count="20">
    <mergeCell ref="H1:K1"/>
    <mergeCell ref="G2:G3"/>
    <mergeCell ref="M2:M3"/>
    <mergeCell ref="B9:B10"/>
    <mergeCell ref="B4:B8"/>
    <mergeCell ref="N2:N3"/>
    <mergeCell ref="L2:L3"/>
    <mergeCell ref="A3:E3"/>
    <mergeCell ref="A56:A62"/>
    <mergeCell ref="A11:A23"/>
    <mergeCell ref="A4:A10"/>
    <mergeCell ref="B11:B23"/>
    <mergeCell ref="B56:B62"/>
    <mergeCell ref="A63:B66"/>
    <mergeCell ref="A67:B70"/>
    <mergeCell ref="B24:B26"/>
    <mergeCell ref="B27:B29"/>
    <mergeCell ref="B30:B33"/>
    <mergeCell ref="A24:A47"/>
    <mergeCell ref="B34:B47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Inês Lourenço</dc:creator>
  <cp:keywords/>
  <dc:description/>
  <cp:lastModifiedBy/>
  <cp:revision/>
  <dcterms:created xsi:type="dcterms:W3CDTF">2024-01-03T15:52:40Z</dcterms:created>
  <dcterms:modified xsi:type="dcterms:W3CDTF">2026-09-23T14:25:17Z</dcterms:modified>
  <cp:category/>
  <cp:contentStatus/>
</cp:coreProperties>
</file>